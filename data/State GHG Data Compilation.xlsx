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mc:AlternateContent xmlns:mc="http://schemas.openxmlformats.org/markup-compatibility/2006">
    <mc:Choice Requires="x15">
      <x15ac:absPath xmlns:x15ac="http://schemas.microsoft.com/office/spreadsheetml/2010/11/ac" url="/Users/sepp/GitHub/US_decoupling/data/"/>
    </mc:Choice>
  </mc:AlternateContent>
  <xr:revisionPtr revIDLastSave="0" documentId="13_ncr:1_{956EACD9-BFEF-A34E-8C77-98D0549C63BA}" xr6:coauthVersionLast="47" xr6:coauthVersionMax="47" xr10:uidLastSave="{00000000-0000-0000-0000-000000000000}"/>
  <bookViews>
    <workbookView xWindow="4420" yWindow="680" windowWidth="25820" windowHeight="18960" activeTab="8" xr2:uid="{CEA74092-CC00-4041-81EC-018ED4633D22}"/>
  </bookViews>
  <sheets>
    <sheet name="GDP Total" sheetId="3" r:id="rId1"/>
    <sheet name="GDP Per Cap" sheetId="1" r:id="rId2"/>
    <sheet name="TE Total" sheetId="6" r:id="rId3"/>
    <sheet name="TE Per Cap" sheetId="9" r:id="rId4"/>
    <sheet name="CBE Total" sheetId="7" r:id="rId5"/>
    <sheet name="CBE Per Cap" sheetId="8" r:id="rId6"/>
    <sheet name="Population" sheetId="2" r:id="rId7"/>
    <sheet name="Sectoral Data" sheetId="10" r:id="rId8"/>
    <sheet name="Sector Codes"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7" l="1"/>
  <c r="D61" i="7"/>
  <c r="E61" i="7"/>
  <c r="F61" i="7"/>
  <c r="G61" i="7"/>
  <c r="H61" i="7"/>
  <c r="I61" i="7"/>
  <c r="B61" i="7"/>
  <c r="C60" i="7"/>
  <c r="D60" i="7"/>
  <c r="E60" i="7"/>
  <c r="F60" i="7"/>
  <c r="G60" i="7"/>
  <c r="H60" i="7"/>
  <c r="I60" i="7"/>
  <c r="B60" i="7"/>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5" i="10"/>
  <c r="F6" i="10"/>
  <c r="F7" i="10"/>
  <c r="F8" i="10"/>
  <c r="F4" i="10"/>
  <c r="D55" i="10"/>
  <c r="B3" i="9" l="1"/>
  <c r="C3" i="9"/>
  <c r="D3" i="9"/>
  <c r="E3" i="9"/>
  <c r="F3" i="9"/>
  <c r="G3" i="9"/>
  <c r="H3" i="9"/>
  <c r="I3" i="9"/>
  <c r="B4" i="9"/>
  <c r="C4" i="9"/>
  <c r="D4" i="9"/>
  <c r="E4" i="9"/>
  <c r="F4" i="9"/>
  <c r="G4" i="9"/>
  <c r="H4" i="9"/>
  <c r="I4" i="9"/>
  <c r="B5" i="9"/>
  <c r="C5" i="9"/>
  <c r="D5" i="9"/>
  <c r="E5" i="9"/>
  <c r="F5" i="9"/>
  <c r="G5" i="9"/>
  <c r="H5" i="9"/>
  <c r="I5" i="9"/>
  <c r="B6" i="9"/>
  <c r="C6" i="9"/>
  <c r="D6" i="9"/>
  <c r="E6" i="9"/>
  <c r="F6" i="9"/>
  <c r="G6" i="9"/>
  <c r="H6" i="9"/>
  <c r="I6" i="9"/>
  <c r="B7" i="9"/>
  <c r="C7" i="9"/>
  <c r="D7" i="9"/>
  <c r="E7" i="9"/>
  <c r="F7" i="9"/>
  <c r="G7" i="9"/>
  <c r="H7" i="9"/>
  <c r="I7" i="9"/>
  <c r="B8" i="9"/>
  <c r="C8" i="9"/>
  <c r="D8" i="9"/>
  <c r="E8" i="9"/>
  <c r="F8" i="9"/>
  <c r="G8" i="9"/>
  <c r="H8" i="9"/>
  <c r="I8" i="9"/>
  <c r="B9" i="9"/>
  <c r="C9" i="9"/>
  <c r="D9" i="9"/>
  <c r="E9" i="9"/>
  <c r="F9" i="9"/>
  <c r="G9" i="9"/>
  <c r="H9" i="9"/>
  <c r="I9" i="9"/>
  <c r="B10" i="9"/>
  <c r="C10" i="9"/>
  <c r="D10" i="9"/>
  <c r="E10" i="9"/>
  <c r="F10" i="9"/>
  <c r="G10" i="9"/>
  <c r="H10" i="9"/>
  <c r="I10" i="9"/>
  <c r="B11" i="9"/>
  <c r="C11" i="9"/>
  <c r="D11" i="9"/>
  <c r="E11" i="9"/>
  <c r="F11" i="9"/>
  <c r="G11" i="9"/>
  <c r="H11" i="9"/>
  <c r="I11" i="9"/>
  <c r="B12" i="9"/>
  <c r="C12" i="9"/>
  <c r="D12" i="9"/>
  <c r="E12" i="9"/>
  <c r="F12" i="9"/>
  <c r="G12" i="9"/>
  <c r="H12" i="9"/>
  <c r="I12" i="9"/>
  <c r="B13" i="9"/>
  <c r="C13" i="9"/>
  <c r="D13" i="9"/>
  <c r="E13" i="9"/>
  <c r="F13" i="9"/>
  <c r="G13" i="9"/>
  <c r="H13" i="9"/>
  <c r="I13" i="9"/>
  <c r="B14" i="9"/>
  <c r="C14" i="9"/>
  <c r="D14" i="9"/>
  <c r="E14" i="9"/>
  <c r="F14" i="9"/>
  <c r="G14" i="9"/>
  <c r="H14" i="9"/>
  <c r="I14" i="9"/>
  <c r="B15" i="9"/>
  <c r="C15" i="9"/>
  <c r="D15" i="9"/>
  <c r="E15" i="9"/>
  <c r="F15" i="9"/>
  <c r="G15" i="9"/>
  <c r="H15" i="9"/>
  <c r="I15" i="9"/>
  <c r="B16" i="9"/>
  <c r="C16" i="9"/>
  <c r="D16" i="9"/>
  <c r="E16" i="9"/>
  <c r="F16" i="9"/>
  <c r="G16" i="9"/>
  <c r="H16" i="9"/>
  <c r="I16" i="9"/>
  <c r="B17" i="9"/>
  <c r="C17" i="9"/>
  <c r="D17" i="9"/>
  <c r="E17" i="9"/>
  <c r="F17" i="9"/>
  <c r="G17" i="9"/>
  <c r="H17" i="9"/>
  <c r="I17" i="9"/>
  <c r="B18" i="9"/>
  <c r="C18" i="9"/>
  <c r="D18" i="9"/>
  <c r="E18" i="9"/>
  <c r="F18" i="9"/>
  <c r="G18" i="9"/>
  <c r="H18" i="9"/>
  <c r="I18" i="9"/>
  <c r="B19" i="9"/>
  <c r="C19" i="9"/>
  <c r="D19" i="9"/>
  <c r="E19" i="9"/>
  <c r="F19" i="9"/>
  <c r="G19" i="9"/>
  <c r="H19" i="9"/>
  <c r="I19" i="9"/>
  <c r="B20" i="9"/>
  <c r="C20" i="9"/>
  <c r="D20" i="9"/>
  <c r="E20" i="9"/>
  <c r="F20" i="9"/>
  <c r="G20" i="9"/>
  <c r="H20" i="9"/>
  <c r="I20" i="9"/>
  <c r="B21" i="9"/>
  <c r="C21" i="9"/>
  <c r="D21" i="9"/>
  <c r="E21" i="9"/>
  <c r="F21" i="9"/>
  <c r="G21" i="9"/>
  <c r="H21" i="9"/>
  <c r="I21" i="9"/>
  <c r="B22" i="9"/>
  <c r="C22" i="9"/>
  <c r="D22" i="9"/>
  <c r="E22" i="9"/>
  <c r="F22" i="9"/>
  <c r="G22" i="9"/>
  <c r="H22" i="9"/>
  <c r="I22" i="9"/>
  <c r="B23" i="9"/>
  <c r="C23" i="9"/>
  <c r="D23" i="9"/>
  <c r="E23" i="9"/>
  <c r="F23" i="9"/>
  <c r="G23" i="9"/>
  <c r="H23" i="9"/>
  <c r="I23" i="9"/>
  <c r="B24" i="9"/>
  <c r="C24" i="9"/>
  <c r="D24" i="9"/>
  <c r="E24" i="9"/>
  <c r="F24" i="9"/>
  <c r="G24" i="9"/>
  <c r="H24" i="9"/>
  <c r="I24" i="9"/>
  <c r="B25" i="9"/>
  <c r="C25" i="9"/>
  <c r="D25" i="9"/>
  <c r="E25" i="9"/>
  <c r="F25" i="9"/>
  <c r="G25" i="9"/>
  <c r="H25" i="9"/>
  <c r="I25" i="9"/>
  <c r="B26" i="9"/>
  <c r="C26" i="9"/>
  <c r="D26" i="9"/>
  <c r="E26" i="9"/>
  <c r="F26" i="9"/>
  <c r="G26" i="9"/>
  <c r="H26" i="9"/>
  <c r="I26" i="9"/>
  <c r="B27" i="9"/>
  <c r="C27" i="9"/>
  <c r="D27" i="9"/>
  <c r="E27" i="9"/>
  <c r="F27" i="9"/>
  <c r="G27" i="9"/>
  <c r="H27" i="9"/>
  <c r="I27" i="9"/>
  <c r="B28" i="9"/>
  <c r="C28" i="9"/>
  <c r="D28" i="9"/>
  <c r="E28" i="9"/>
  <c r="F28" i="9"/>
  <c r="G28" i="9"/>
  <c r="H28" i="9"/>
  <c r="I28" i="9"/>
  <c r="B29" i="9"/>
  <c r="C29" i="9"/>
  <c r="D29" i="9"/>
  <c r="E29" i="9"/>
  <c r="F29" i="9"/>
  <c r="G29" i="9"/>
  <c r="H29" i="9"/>
  <c r="I29" i="9"/>
  <c r="B30" i="9"/>
  <c r="C30" i="9"/>
  <c r="D30" i="9"/>
  <c r="E30" i="9"/>
  <c r="F30" i="9"/>
  <c r="G30" i="9"/>
  <c r="H30" i="9"/>
  <c r="I30" i="9"/>
  <c r="B31" i="9"/>
  <c r="C31" i="9"/>
  <c r="D31" i="9"/>
  <c r="E31" i="9"/>
  <c r="F31" i="9"/>
  <c r="G31" i="9"/>
  <c r="H31" i="9"/>
  <c r="I31" i="9"/>
  <c r="B32" i="9"/>
  <c r="C32" i="9"/>
  <c r="D32" i="9"/>
  <c r="E32" i="9"/>
  <c r="F32" i="9"/>
  <c r="G32" i="9"/>
  <c r="H32" i="9"/>
  <c r="I32" i="9"/>
  <c r="B33" i="9"/>
  <c r="C33" i="9"/>
  <c r="D33" i="9"/>
  <c r="E33" i="9"/>
  <c r="F33" i="9"/>
  <c r="G33" i="9"/>
  <c r="H33" i="9"/>
  <c r="I33" i="9"/>
  <c r="B34" i="9"/>
  <c r="C34" i="9"/>
  <c r="D34" i="9"/>
  <c r="E34" i="9"/>
  <c r="F34" i="9"/>
  <c r="G34" i="9"/>
  <c r="H34" i="9"/>
  <c r="I34" i="9"/>
  <c r="B35" i="9"/>
  <c r="C35" i="9"/>
  <c r="D35" i="9"/>
  <c r="E35" i="9"/>
  <c r="F35" i="9"/>
  <c r="G35" i="9"/>
  <c r="H35" i="9"/>
  <c r="I35" i="9"/>
  <c r="B36" i="9"/>
  <c r="C36" i="9"/>
  <c r="D36" i="9"/>
  <c r="E36" i="9"/>
  <c r="F36" i="9"/>
  <c r="G36" i="9"/>
  <c r="H36" i="9"/>
  <c r="I36" i="9"/>
  <c r="B37" i="9"/>
  <c r="C37" i="9"/>
  <c r="D37" i="9"/>
  <c r="E37" i="9"/>
  <c r="F37" i="9"/>
  <c r="G37" i="9"/>
  <c r="H37" i="9"/>
  <c r="I37" i="9"/>
  <c r="B38" i="9"/>
  <c r="C38" i="9"/>
  <c r="D38" i="9"/>
  <c r="E38" i="9"/>
  <c r="F38" i="9"/>
  <c r="G38" i="9"/>
  <c r="H38" i="9"/>
  <c r="I38" i="9"/>
  <c r="B39" i="9"/>
  <c r="C39" i="9"/>
  <c r="D39" i="9"/>
  <c r="E39" i="9"/>
  <c r="F39" i="9"/>
  <c r="G39" i="9"/>
  <c r="H39" i="9"/>
  <c r="I39" i="9"/>
  <c r="B40" i="9"/>
  <c r="C40" i="9"/>
  <c r="D40" i="9"/>
  <c r="E40" i="9"/>
  <c r="F40" i="9"/>
  <c r="G40" i="9"/>
  <c r="H40" i="9"/>
  <c r="I40" i="9"/>
  <c r="B41" i="9"/>
  <c r="C41" i="9"/>
  <c r="D41" i="9"/>
  <c r="E41" i="9"/>
  <c r="F41" i="9"/>
  <c r="G41" i="9"/>
  <c r="H41" i="9"/>
  <c r="I41" i="9"/>
  <c r="B42" i="9"/>
  <c r="C42" i="9"/>
  <c r="D42" i="9"/>
  <c r="E42" i="9"/>
  <c r="F42" i="9"/>
  <c r="G42" i="9"/>
  <c r="H42" i="9"/>
  <c r="I42" i="9"/>
  <c r="B43" i="9"/>
  <c r="C43" i="9"/>
  <c r="D43" i="9"/>
  <c r="E43" i="9"/>
  <c r="F43" i="9"/>
  <c r="G43" i="9"/>
  <c r="H43" i="9"/>
  <c r="I43" i="9"/>
  <c r="B44" i="9"/>
  <c r="C44" i="9"/>
  <c r="D44" i="9"/>
  <c r="E44" i="9"/>
  <c r="F44" i="9"/>
  <c r="G44" i="9"/>
  <c r="H44" i="9"/>
  <c r="I44" i="9"/>
  <c r="B45" i="9"/>
  <c r="C45" i="9"/>
  <c r="D45" i="9"/>
  <c r="E45" i="9"/>
  <c r="F45" i="9"/>
  <c r="G45" i="9"/>
  <c r="H45" i="9"/>
  <c r="I45" i="9"/>
  <c r="B46" i="9"/>
  <c r="C46" i="9"/>
  <c r="D46" i="9"/>
  <c r="E46" i="9"/>
  <c r="F46" i="9"/>
  <c r="G46" i="9"/>
  <c r="H46" i="9"/>
  <c r="I46" i="9"/>
  <c r="B47" i="9"/>
  <c r="C47" i="9"/>
  <c r="D47" i="9"/>
  <c r="E47" i="9"/>
  <c r="F47" i="9"/>
  <c r="G47" i="9"/>
  <c r="H47" i="9"/>
  <c r="I47" i="9"/>
  <c r="B48" i="9"/>
  <c r="C48" i="9"/>
  <c r="D48" i="9"/>
  <c r="E48" i="9"/>
  <c r="F48" i="9"/>
  <c r="G48" i="9"/>
  <c r="H48" i="9"/>
  <c r="I48" i="9"/>
  <c r="B49" i="9"/>
  <c r="C49" i="9"/>
  <c r="D49" i="9"/>
  <c r="E49" i="9"/>
  <c r="F49" i="9"/>
  <c r="G49" i="9"/>
  <c r="H49" i="9"/>
  <c r="I49" i="9"/>
  <c r="B50" i="9"/>
  <c r="C50" i="9"/>
  <c r="D50" i="9"/>
  <c r="E50" i="9"/>
  <c r="F50" i="9"/>
  <c r="G50" i="9"/>
  <c r="H50" i="9"/>
  <c r="I50" i="9"/>
  <c r="B51" i="9"/>
  <c r="C51" i="9"/>
  <c r="D51" i="9"/>
  <c r="E51" i="9"/>
  <c r="F51" i="9"/>
  <c r="G51" i="9"/>
  <c r="H51" i="9"/>
  <c r="I51" i="9"/>
  <c r="B52" i="9"/>
  <c r="C52" i="9"/>
  <c r="D52" i="9"/>
  <c r="E52" i="9"/>
  <c r="F52" i="9"/>
  <c r="G52" i="9"/>
  <c r="H52" i="9"/>
  <c r="I52" i="9"/>
  <c r="C2" i="9"/>
  <c r="D2" i="9"/>
  <c r="E2" i="9"/>
  <c r="F2" i="9"/>
  <c r="G2" i="9"/>
  <c r="H2" i="9"/>
  <c r="I2" i="9"/>
  <c r="B2" i="9"/>
  <c r="C2" i="8"/>
  <c r="D2" i="8"/>
  <c r="E2" i="8"/>
  <c r="F2" i="8"/>
  <c r="G2" i="8"/>
  <c r="H2" i="8"/>
  <c r="I2" i="8"/>
  <c r="B2" i="8"/>
  <c r="B4" i="8"/>
  <c r="C4" i="8"/>
  <c r="D4" i="8"/>
  <c r="E4" i="8"/>
  <c r="F4" i="8"/>
  <c r="G4" i="8"/>
  <c r="H4" i="8"/>
  <c r="I4" i="8"/>
  <c r="B5" i="8"/>
  <c r="C5" i="8"/>
  <c r="D5" i="8"/>
  <c r="E5" i="8"/>
  <c r="F5" i="8"/>
  <c r="G5" i="8"/>
  <c r="H5" i="8"/>
  <c r="I5" i="8"/>
  <c r="B6" i="8"/>
  <c r="C6" i="8"/>
  <c r="D6" i="8"/>
  <c r="E6" i="8"/>
  <c r="F6" i="8"/>
  <c r="G6" i="8"/>
  <c r="H6" i="8"/>
  <c r="I6" i="8"/>
  <c r="B7" i="8"/>
  <c r="C7" i="8"/>
  <c r="D7" i="8"/>
  <c r="E7" i="8"/>
  <c r="F7" i="8"/>
  <c r="G7" i="8"/>
  <c r="H7" i="8"/>
  <c r="I7" i="8"/>
  <c r="B8" i="8"/>
  <c r="C8" i="8"/>
  <c r="D8" i="8"/>
  <c r="E8" i="8"/>
  <c r="F8" i="8"/>
  <c r="G8" i="8"/>
  <c r="H8" i="8"/>
  <c r="I8" i="8"/>
  <c r="B9" i="8"/>
  <c r="C9" i="8"/>
  <c r="D9" i="8"/>
  <c r="E9" i="8"/>
  <c r="F9" i="8"/>
  <c r="G9" i="8"/>
  <c r="H9" i="8"/>
  <c r="I9" i="8"/>
  <c r="B10" i="8"/>
  <c r="C10" i="8"/>
  <c r="D10" i="8"/>
  <c r="E10" i="8"/>
  <c r="F10" i="8"/>
  <c r="G10" i="8"/>
  <c r="H10" i="8"/>
  <c r="I10" i="8"/>
  <c r="B11" i="8"/>
  <c r="C11" i="8"/>
  <c r="D11" i="8"/>
  <c r="E11" i="8"/>
  <c r="F11" i="8"/>
  <c r="G11" i="8"/>
  <c r="H11" i="8"/>
  <c r="I11" i="8"/>
  <c r="B12" i="8"/>
  <c r="C12" i="8"/>
  <c r="D12" i="8"/>
  <c r="E12" i="8"/>
  <c r="F12" i="8"/>
  <c r="G12" i="8"/>
  <c r="H12" i="8"/>
  <c r="I12" i="8"/>
  <c r="B13" i="8"/>
  <c r="C13" i="8"/>
  <c r="D13" i="8"/>
  <c r="E13" i="8"/>
  <c r="F13" i="8"/>
  <c r="G13" i="8"/>
  <c r="H13" i="8"/>
  <c r="I13" i="8"/>
  <c r="B14" i="8"/>
  <c r="C14" i="8"/>
  <c r="D14" i="8"/>
  <c r="E14" i="8"/>
  <c r="F14" i="8"/>
  <c r="G14" i="8"/>
  <c r="H14" i="8"/>
  <c r="I14" i="8"/>
  <c r="B15" i="8"/>
  <c r="C15" i="8"/>
  <c r="D15" i="8"/>
  <c r="E15" i="8"/>
  <c r="F15" i="8"/>
  <c r="G15" i="8"/>
  <c r="H15" i="8"/>
  <c r="I15" i="8"/>
  <c r="B16" i="8"/>
  <c r="C16" i="8"/>
  <c r="D16" i="8"/>
  <c r="E16" i="8"/>
  <c r="F16" i="8"/>
  <c r="G16" i="8"/>
  <c r="H16" i="8"/>
  <c r="I16" i="8"/>
  <c r="B17" i="8"/>
  <c r="C17" i="8"/>
  <c r="D17" i="8"/>
  <c r="E17" i="8"/>
  <c r="F17" i="8"/>
  <c r="G17" i="8"/>
  <c r="H17" i="8"/>
  <c r="I17" i="8"/>
  <c r="B18" i="8"/>
  <c r="C18" i="8"/>
  <c r="D18" i="8"/>
  <c r="E18" i="8"/>
  <c r="F18" i="8"/>
  <c r="G18" i="8"/>
  <c r="H18" i="8"/>
  <c r="I18" i="8"/>
  <c r="B19" i="8"/>
  <c r="C19" i="8"/>
  <c r="D19" i="8"/>
  <c r="E19" i="8"/>
  <c r="F19" i="8"/>
  <c r="G19" i="8"/>
  <c r="H19" i="8"/>
  <c r="I19" i="8"/>
  <c r="B20" i="8"/>
  <c r="C20" i="8"/>
  <c r="D20" i="8"/>
  <c r="E20" i="8"/>
  <c r="F20" i="8"/>
  <c r="G20" i="8"/>
  <c r="H20" i="8"/>
  <c r="I20" i="8"/>
  <c r="B21" i="8"/>
  <c r="C21" i="8"/>
  <c r="D21" i="8"/>
  <c r="E21" i="8"/>
  <c r="F21" i="8"/>
  <c r="G21" i="8"/>
  <c r="H21" i="8"/>
  <c r="I21" i="8"/>
  <c r="B22" i="8"/>
  <c r="C22" i="8"/>
  <c r="D22" i="8"/>
  <c r="E22" i="8"/>
  <c r="F22" i="8"/>
  <c r="G22" i="8"/>
  <c r="H22" i="8"/>
  <c r="I22" i="8"/>
  <c r="D23" i="8"/>
  <c r="B24" i="8"/>
  <c r="C24" i="8"/>
  <c r="D24" i="8"/>
  <c r="E24" i="8"/>
  <c r="F24" i="8"/>
  <c r="G24" i="8"/>
  <c r="H24" i="8"/>
  <c r="I24" i="8"/>
  <c r="B25" i="8"/>
  <c r="C25" i="8"/>
  <c r="D25" i="8"/>
  <c r="E25" i="8"/>
  <c r="F25" i="8"/>
  <c r="G25" i="8"/>
  <c r="H25" i="8"/>
  <c r="I25" i="8"/>
  <c r="B26" i="8"/>
  <c r="C26" i="8"/>
  <c r="D26" i="8"/>
  <c r="E26" i="8"/>
  <c r="F26" i="8"/>
  <c r="G26" i="8"/>
  <c r="H26" i="8"/>
  <c r="I26" i="8"/>
  <c r="B27" i="8"/>
  <c r="C27" i="8"/>
  <c r="D27" i="8"/>
  <c r="E27" i="8"/>
  <c r="F27" i="8"/>
  <c r="G27" i="8"/>
  <c r="H27" i="8"/>
  <c r="I27" i="8"/>
  <c r="B28" i="8"/>
  <c r="C28" i="8"/>
  <c r="D28" i="8"/>
  <c r="E28" i="8"/>
  <c r="F28" i="8"/>
  <c r="G28" i="8"/>
  <c r="H28" i="8"/>
  <c r="I28" i="8"/>
  <c r="B29" i="8"/>
  <c r="C29" i="8"/>
  <c r="D29" i="8"/>
  <c r="E29" i="8"/>
  <c r="F29" i="8"/>
  <c r="G29" i="8"/>
  <c r="H29" i="8"/>
  <c r="I29" i="8"/>
  <c r="B30" i="8"/>
  <c r="C30" i="8"/>
  <c r="D30" i="8"/>
  <c r="E30" i="8"/>
  <c r="F30" i="8"/>
  <c r="G30" i="8"/>
  <c r="H30" i="8"/>
  <c r="I30" i="8"/>
  <c r="B31" i="8"/>
  <c r="C31" i="8"/>
  <c r="D31" i="8"/>
  <c r="E31" i="8"/>
  <c r="F31" i="8"/>
  <c r="G31" i="8"/>
  <c r="H31" i="8"/>
  <c r="I31" i="8"/>
  <c r="B32" i="8"/>
  <c r="C32" i="8"/>
  <c r="D32" i="8"/>
  <c r="E32" i="8"/>
  <c r="F32" i="8"/>
  <c r="G32" i="8"/>
  <c r="H32" i="8"/>
  <c r="I32" i="8"/>
  <c r="B33" i="8"/>
  <c r="C33" i="8"/>
  <c r="D33" i="8"/>
  <c r="E33" i="8"/>
  <c r="F33" i="8"/>
  <c r="G33" i="8"/>
  <c r="H33" i="8"/>
  <c r="I33" i="8"/>
  <c r="B34" i="8"/>
  <c r="C34" i="8"/>
  <c r="D34" i="8"/>
  <c r="E34" i="8"/>
  <c r="F34" i="8"/>
  <c r="G34" i="8"/>
  <c r="H34" i="8"/>
  <c r="I34" i="8"/>
  <c r="B35" i="8"/>
  <c r="C35" i="8"/>
  <c r="D35" i="8"/>
  <c r="E35" i="8"/>
  <c r="F35" i="8"/>
  <c r="G35" i="8"/>
  <c r="H35" i="8"/>
  <c r="I35" i="8"/>
  <c r="B36" i="8"/>
  <c r="C36" i="8"/>
  <c r="D36" i="8"/>
  <c r="E36" i="8"/>
  <c r="F36" i="8"/>
  <c r="G36" i="8"/>
  <c r="H36" i="8"/>
  <c r="I36" i="8"/>
  <c r="B37" i="8"/>
  <c r="C37" i="8"/>
  <c r="D37" i="8"/>
  <c r="E37" i="8"/>
  <c r="F37" i="8"/>
  <c r="G37" i="8"/>
  <c r="H37" i="8"/>
  <c r="I37" i="8"/>
  <c r="B38" i="8"/>
  <c r="C38" i="8"/>
  <c r="D38" i="8"/>
  <c r="E38" i="8"/>
  <c r="F38" i="8"/>
  <c r="G38" i="8"/>
  <c r="H38" i="8"/>
  <c r="I38" i="8"/>
  <c r="B39" i="8"/>
  <c r="C39" i="8"/>
  <c r="D39" i="8"/>
  <c r="E39" i="8"/>
  <c r="F39" i="8"/>
  <c r="G39" i="8"/>
  <c r="H39" i="8"/>
  <c r="I39" i="8"/>
  <c r="B40" i="8"/>
  <c r="C40" i="8"/>
  <c r="D40" i="8"/>
  <c r="E40" i="8"/>
  <c r="F40" i="8"/>
  <c r="G40" i="8"/>
  <c r="H40" i="8"/>
  <c r="I40" i="8"/>
  <c r="B41" i="8"/>
  <c r="C41" i="8"/>
  <c r="D41" i="8"/>
  <c r="E41" i="8"/>
  <c r="F41" i="8"/>
  <c r="G41" i="8"/>
  <c r="H41" i="8"/>
  <c r="I41" i="8"/>
  <c r="B42" i="8"/>
  <c r="C42" i="8"/>
  <c r="D42" i="8"/>
  <c r="E42" i="8"/>
  <c r="F42" i="8"/>
  <c r="G42" i="8"/>
  <c r="H42" i="8"/>
  <c r="I42" i="8"/>
  <c r="B43" i="8"/>
  <c r="C43" i="8"/>
  <c r="D43" i="8"/>
  <c r="E43" i="8"/>
  <c r="F43" i="8"/>
  <c r="G43" i="8"/>
  <c r="H43" i="8"/>
  <c r="I43" i="8"/>
  <c r="B44" i="8"/>
  <c r="C44" i="8"/>
  <c r="D44" i="8"/>
  <c r="E44" i="8"/>
  <c r="F44" i="8"/>
  <c r="G44" i="8"/>
  <c r="H44" i="8"/>
  <c r="I44" i="8"/>
  <c r="B45" i="8"/>
  <c r="C45" i="8"/>
  <c r="D45" i="8"/>
  <c r="E45" i="8"/>
  <c r="F45" i="8"/>
  <c r="G45" i="8"/>
  <c r="H45" i="8"/>
  <c r="I45" i="8"/>
  <c r="B46" i="8"/>
  <c r="C46" i="8"/>
  <c r="D46" i="8"/>
  <c r="E46" i="8"/>
  <c r="F46" i="8"/>
  <c r="G46" i="8"/>
  <c r="H46" i="8"/>
  <c r="I46" i="8"/>
  <c r="B47" i="8"/>
  <c r="C47" i="8"/>
  <c r="D47" i="8"/>
  <c r="E47" i="8"/>
  <c r="F47" i="8"/>
  <c r="G47" i="8"/>
  <c r="H47" i="8"/>
  <c r="I47" i="8"/>
  <c r="B48" i="8"/>
  <c r="C48" i="8"/>
  <c r="D48" i="8"/>
  <c r="E48" i="8"/>
  <c r="F48" i="8"/>
  <c r="G48" i="8"/>
  <c r="H48" i="8"/>
  <c r="I48" i="8"/>
  <c r="B49" i="8"/>
  <c r="C49" i="8"/>
  <c r="D49" i="8"/>
  <c r="E49" i="8"/>
  <c r="F49" i="8"/>
  <c r="G49" i="8"/>
  <c r="H49" i="8"/>
  <c r="I49" i="8"/>
  <c r="B50" i="8"/>
  <c r="C50" i="8"/>
  <c r="D50" i="8"/>
  <c r="E50" i="8"/>
  <c r="F50" i="8"/>
  <c r="G50" i="8"/>
  <c r="H50" i="8"/>
  <c r="I50" i="8"/>
  <c r="B51" i="8"/>
  <c r="C51" i="8"/>
  <c r="D51" i="8"/>
  <c r="E51" i="8"/>
  <c r="F51" i="8"/>
  <c r="G51" i="8"/>
  <c r="H51" i="8"/>
  <c r="I51" i="8"/>
  <c r="B52" i="8"/>
  <c r="C52" i="8"/>
  <c r="D52" i="8"/>
  <c r="E52" i="8"/>
  <c r="F52" i="8"/>
  <c r="G52" i="8"/>
  <c r="H52" i="8"/>
  <c r="I52" i="8"/>
  <c r="C3" i="8"/>
  <c r="D3" i="8"/>
  <c r="E3" i="8"/>
  <c r="F3" i="8"/>
  <c r="G3" i="8"/>
  <c r="H3" i="8"/>
  <c r="I3" i="8"/>
  <c r="B3" i="8"/>
  <c r="C1" i="8"/>
  <c r="D1" i="8"/>
  <c r="E1" i="8"/>
  <c r="F1" i="8"/>
  <c r="G1" i="8"/>
  <c r="H1" i="8"/>
  <c r="I1" i="8"/>
  <c r="B1" i="8"/>
  <c r="D53" i="7"/>
  <c r="D53" i="8" s="1"/>
  <c r="E53" i="7"/>
  <c r="E53" i="8" s="1"/>
  <c r="F53" i="7"/>
  <c r="F53" i="8" s="1"/>
  <c r="I53" i="7"/>
  <c r="I53" i="8" s="1"/>
  <c r="C23" i="8"/>
  <c r="E23" i="8"/>
  <c r="F23" i="8"/>
  <c r="G53" i="7"/>
  <c r="G53" i="8" s="1"/>
  <c r="H53" i="7"/>
  <c r="H53" i="8" s="1"/>
  <c r="I23" i="8"/>
  <c r="B23" i="8"/>
  <c r="B53" i="7"/>
  <c r="B53" i="8" s="1"/>
  <c r="C53" i="7" l="1"/>
  <c r="C53" i="8" s="1"/>
  <c r="H23" i="8"/>
  <c r="G23" i="8"/>
</calcChain>
</file>

<file path=xl/sharedStrings.xml><?xml version="1.0" encoding="utf-8"?>
<sst xmlns="http://schemas.openxmlformats.org/spreadsheetml/2006/main" count="1696" uniqueCount="317">
  <si>
    <t>GeoName</t>
  </si>
  <si>
    <t>Unit</t>
  </si>
  <si>
    <t>USA</t>
  </si>
  <si>
    <t>United States</t>
  </si>
  <si>
    <t>Millions of chained 2012 dollars</t>
  </si>
  <si>
    <t>AL</t>
  </si>
  <si>
    <t>Alabama</t>
  </si>
  <si>
    <t>AK</t>
  </si>
  <si>
    <t>Alaska</t>
  </si>
  <si>
    <t>AZ</t>
  </si>
  <si>
    <t>Arizona</t>
  </si>
  <si>
    <t>AR</t>
  </si>
  <si>
    <t>Arkansas</t>
  </si>
  <si>
    <t>CA</t>
  </si>
  <si>
    <t>California</t>
  </si>
  <si>
    <t>CO</t>
  </si>
  <si>
    <t>Colorado</t>
  </si>
  <si>
    <t>CT</t>
  </si>
  <si>
    <t>Connecticut</t>
  </si>
  <si>
    <t>DE</t>
  </si>
  <si>
    <t>Delaware</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</si>
  <si>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</si>
  <si>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</si>
  <si>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</si>
  <si>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</si>
  <si>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</si>
  <si>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</si>
  <si>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</si>
  <si>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</si>
  <si>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</si>
  <si>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</si>
  <si>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</si>
  <si>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</si>
  <si>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</si>
  <si>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</si>
  <si>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</si>
  <si>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</si>
  <si>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</si>
  <si>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</si>
  <si>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</si>
  <si>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</si>
  <si>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</si>
  <si>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</si>
  <si>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</si>
  <si>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</si>
  <si>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</si>
  <si>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</si>
  <si>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</si>
  <si>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</si>
  <si>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</si>
  <si>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</si>
  <si>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</si>
  <si>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</si>
  <si>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</si>
  <si>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</si>
  <si>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</si>
  <si>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</si>
  <si>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</si>
  <si>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</si>
  <si>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</si>
  <si>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</si>
  <si>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</si>
  <si>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</si>
  <si>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</si>
  <si>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</si>
  <si>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</si>
  <si>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</si>
  <si>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</si>
  <si>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</si>
  <si>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</si>
  <si>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</si>
  <si>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</si>
  <si>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</si>
  <si>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</si>
  <si>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</si>
  <si>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</si>
  <si>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</si>
  <si>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</si>
  <si>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</si>
  <si>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</si>
  <si>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</si>
  <si>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</si>
  <si>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</si>
  <si>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</si>
  <si>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</si>
  <si>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</si>
  <si>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</si>
  <si>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</si>
  <si>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</si>
  <si>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</si>
  <si>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</si>
  <si>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</si>
  <si>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</si>
  <si>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</si>
  <si>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</si>
  <si>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</si>
  <si>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</si>
  <si>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</si>
  <si>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</si>
  <si>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</si>
  <si>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</si>
  <si>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</si>
  <si>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</si>
  <si>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</si>
  <si>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</si>
  <si>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Chained 2012 dollars</t>
  </si>
  <si>
    <t>MMT GHG</t>
  </si>
  <si>
    <t>Total</t>
  </si>
  <si>
    <t xml:space="preserve">Note: Difference between US reported by EPA and total from adding all states. See https://github.com/cornerstone-data/USEEIO-State/issues/6 </t>
  </si>
  <si>
    <t xml:space="preserve">Global total </t>
  </si>
  <si>
    <t>percent of total (CB)</t>
  </si>
  <si>
    <t>percent of total (TE)</t>
  </si>
  <si>
    <t>Abbreviation</t>
  </si>
  <si>
    <t>Census</t>
  </si>
  <si>
    <t>Estimates Base</t>
  </si>
  <si>
    <r>
      <t>.</t>
    </r>
    <r>
      <rPr>
        <sz val="10"/>
        <color indexed="8"/>
        <rFont val="MS sans serif"/>
        <charset val="134"/>
      </rPr>
      <t>Alabama</t>
    </r>
  </si>
  <si>
    <r>
      <t>.</t>
    </r>
    <r>
      <rPr>
        <sz val="10"/>
        <color indexed="8"/>
        <rFont val="MS sans serif"/>
        <charset val="134"/>
      </rPr>
      <t>Alaska</t>
    </r>
  </si>
  <si>
    <r>
      <t>.</t>
    </r>
    <r>
      <rPr>
        <sz val="10"/>
        <color indexed="8"/>
        <rFont val="MS sans serif"/>
        <charset val="134"/>
      </rPr>
      <t>Arizona</t>
    </r>
  </si>
  <si>
    <r>
      <t>.</t>
    </r>
    <r>
      <rPr>
        <sz val="10"/>
        <color indexed="8"/>
        <rFont val="MS sans serif"/>
        <charset val="134"/>
      </rPr>
      <t>Arkansas</t>
    </r>
  </si>
  <si>
    <r>
      <t>.</t>
    </r>
    <r>
      <rPr>
        <sz val="10"/>
        <color indexed="8"/>
        <rFont val="MS sans serif"/>
        <charset val="134"/>
      </rPr>
      <t>California</t>
    </r>
  </si>
  <si>
    <r>
      <t>.</t>
    </r>
    <r>
      <rPr>
        <sz val="10"/>
        <color indexed="8"/>
        <rFont val="MS sans serif"/>
        <charset val="134"/>
      </rPr>
      <t>Colorado</t>
    </r>
  </si>
  <si>
    <r>
      <t>.</t>
    </r>
    <r>
      <rPr>
        <sz val="10"/>
        <color indexed="8"/>
        <rFont val="MS sans serif"/>
        <charset val="134"/>
      </rPr>
      <t>Connecticut</t>
    </r>
  </si>
  <si>
    <r>
      <t>.</t>
    </r>
    <r>
      <rPr>
        <sz val="10"/>
        <color indexed="8"/>
        <rFont val="MS sans serif"/>
        <charset val="134"/>
      </rPr>
      <t>Delaware</t>
    </r>
  </si>
  <si>
    <r>
      <t>.</t>
    </r>
    <r>
      <rPr>
        <sz val="10"/>
        <color indexed="8"/>
        <rFont val="MS sans serif"/>
        <charset val="134"/>
      </rPr>
      <t>Florida</t>
    </r>
  </si>
  <si>
    <r>
      <t>.</t>
    </r>
    <r>
      <rPr>
        <sz val="10"/>
        <color indexed="8"/>
        <rFont val="MS sans serif"/>
        <charset val="134"/>
      </rPr>
      <t>Georgia</t>
    </r>
  </si>
  <si>
    <r>
      <t>.</t>
    </r>
    <r>
      <rPr>
        <sz val="10"/>
        <color indexed="8"/>
        <rFont val="MS sans serif"/>
        <charset val="134"/>
      </rPr>
      <t>Hawaii</t>
    </r>
  </si>
  <si>
    <r>
      <t>.</t>
    </r>
    <r>
      <rPr>
        <sz val="10"/>
        <color indexed="8"/>
        <rFont val="MS sans serif"/>
        <charset val="134"/>
      </rPr>
      <t>Idaho</t>
    </r>
  </si>
  <si>
    <r>
      <t>.</t>
    </r>
    <r>
      <rPr>
        <sz val="10"/>
        <color indexed="8"/>
        <rFont val="MS sans serif"/>
        <charset val="134"/>
      </rPr>
      <t>Illinois</t>
    </r>
  </si>
  <si>
    <r>
      <t>.</t>
    </r>
    <r>
      <rPr>
        <sz val="10"/>
        <color indexed="8"/>
        <rFont val="MS sans serif"/>
        <charset val="134"/>
      </rPr>
      <t>Indiana</t>
    </r>
  </si>
  <si>
    <r>
      <t>.</t>
    </r>
    <r>
      <rPr>
        <sz val="10"/>
        <color indexed="8"/>
        <rFont val="MS sans serif"/>
        <charset val="134"/>
      </rPr>
      <t>Iowa</t>
    </r>
  </si>
  <si>
    <r>
      <t>.</t>
    </r>
    <r>
      <rPr>
        <sz val="10"/>
        <color indexed="8"/>
        <rFont val="MS sans serif"/>
        <charset val="134"/>
      </rPr>
      <t>Kansas</t>
    </r>
  </si>
  <si>
    <r>
      <t>.</t>
    </r>
    <r>
      <rPr>
        <sz val="10"/>
        <color indexed="8"/>
        <rFont val="MS sans serif"/>
        <charset val="134"/>
      </rPr>
      <t>Kentucky</t>
    </r>
  </si>
  <si>
    <r>
      <t>.</t>
    </r>
    <r>
      <rPr>
        <sz val="10"/>
        <color indexed="8"/>
        <rFont val="MS sans serif"/>
        <charset val="134"/>
      </rPr>
      <t>Louisiana</t>
    </r>
  </si>
  <si>
    <r>
      <t>.</t>
    </r>
    <r>
      <rPr>
        <sz val="10"/>
        <color indexed="8"/>
        <rFont val="MS sans serif"/>
        <charset val="134"/>
      </rPr>
      <t>Maine</t>
    </r>
  </si>
  <si>
    <r>
      <t>.</t>
    </r>
    <r>
      <rPr>
        <sz val="10"/>
        <color indexed="8"/>
        <rFont val="MS sans serif"/>
        <charset val="134"/>
      </rPr>
      <t>Maryland</t>
    </r>
  </si>
  <si>
    <r>
      <t>.</t>
    </r>
    <r>
      <rPr>
        <sz val="10"/>
        <color indexed="8"/>
        <rFont val="MS sans serif"/>
        <charset val="134"/>
      </rPr>
      <t>Massachusetts</t>
    </r>
  </si>
  <si>
    <r>
      <t>.</t>
    </r>
    <r>
      <rPr>
        <sz val="10"/>
        <color indexed="8"/>
        <rFont val="MS sans serif"/>
        <charset val="134"/>
      </rPr>
      <t>Michigan</t>
    </r>
  </si>
  <si>
    <r>
      <t>.</t>
    </r>
    <r>
      <rPr>
        <sz val="10"/>
        <color indexed="8"/>
        <rFont val="MS sans serif"/>
        <charset val="134"/>
      </rPr>
      <t>Minnesota</t>
    </r>
  </si>
  <si>
    <r>
      <t>.</t>
    </r>
    <r>
      <rPr>
        <sz val="10"/>
        <color indexed="8"/>
        <rFont val="MS sans serif"/>
        <charset val="134"/>
      </rPr>
      <t>Mississippi</t>
    </r>
  </si>
  <si>
    <r>
      <t>.</t>
    </r>
    <r>
      <rPr>
        <sz val="10"/>
        <color indexed="8"/>
        <rFont val="MS sans serif"/>
        <charset val="134"/>
      </rPr>
      <t>Missouri</t>
    </r>
  </si>
  <si>
    <r>
      <t>.</t>
    </r>
    <r>
      <rPr>
        <sz val="10"/>
        <color indexed="8"/>
        <rFont val="MS sans serif"/>
        <charset val="134"/>
      </rPr>
      <t>Montana</t>
    </r>
  </si>
  <si>
    <r>
      <t>.</t>
    </r>
    <r>
      <rPr>
        <sz val="10"/>
        <color indexed="8"/>
        <rFont val="MS sans serif"/>
        <charset val="134"/>
      </rPr>
      <t>Nebraska</t>
    </r>
  </si>
  <si>
    <r>
      <t>.</t>
    </r>
    <r>
      <rPr>
        <sz val="10"/>
        <color indexed="8"/>
        <rFont val="MS sans serif"/>
        <charset val="134"/>
      </rPr>
      <t>Nevada</t>
    </r>
  </si>
  <si>
    <r>
      <t>.</t>
    </r>
    <r>
      <rPr>
        <sz val="10"/>
        <color indexed="8"/>
        <rFont val="MS sans serif"/>
        <charset val="134"/>
      </rPr>
      <t>New Hampshire</t>
    </r>
  </si>
  <si>
    <r>
      <t>.</t>
    </r>
    <r>
      <rPr>
        <sz val="10"/>
        <color indexed="8"/>
        <rFont val="MS sans serif"/>
        <charset val="134"/>
      </rPr>
      <t>New Jersey</t>
    </r>
  </si>
  <si>
    <r>
      <t>.</t>
    </r>
    <r>
      <rPr>
        <sz val="10"/>
        <color indexed="8"/>
        <rFont val="MS sans serif"/>
        <charset val="134"/>
      </rPr>
      <t>New Mexico</t>
    </r>
  </si>
  <si>
    <r>
      <t>.</t>
    </r>
    <r>
      <rPr>
        <sz val="10"/>
        <color indexed="8"/>
        <rFont val="MS sans serif"/>
        <charset val="134"/>
      </rPr>
      <t>New York</t>
    </r>
  </si>
  <si>
    <r>
      <t>.</t>
    </r>
    <r>
      <rPr>
        <sz val="10"/>
        <color indexed="8"/>
        <rFont val="MS sans serif"/>
        <charset val="134"/>
      </rPr>
      <t>North Carolina</t>
    </r>
  </si>
  <si>
    <r>
      <t>.</t>
    </r>
    <r>
      <rPr>
        <sz val="10"/>
        <color indexed="8"/>
        <rFont val="MS sans serif"/>
        <charset val="134"/>
      </rPr>
      <t>North Dakota</t>
    </r>
  </si>
  <si>
    <r>
      <t>.</t>
    </r>
    <r>
      <rPr>
        <sz val="10"/>
        <color indexed="8"/>
        <rFont val="MS sans serif"/>
        <charset val="134"/>
      </rPr>
      <t>Ohio</t>
    </r>
  </si>
  <si>
    <r>
      <t>.</t>
    </r>
    <r>
      <rPr>
        <sz val="10"/>
        <color indexed="8"/>
        <rFont val="MS sans serif"/>
        <charset val="134"/>
      </rPr>
      <t>Oklahoma</t>
    </r>
  </si>
  <si>
    <r>
      <t>.</t>
    </r>
    <r>
      <rPr>
        <sz val="10"/>
        <color indexed="8"/>
        <rFont val="MS sans serif"/>
        <charset val="134"/>
      </rPr>
      <t>Oregon</t>
    </r>
  </si>
  <si>
    <r>
      <t>.</t>
    </r>
    <r>
      <rPr>
        <sz val="10"/>
        <color indexed="8"/>
        <rFont val="MS sans serif"/>
        <charset val="134"/>
      </rPr>
      <t>Pennsylvania</t>
    </r>
  </si>
  <si>
    <r>
      <t>.</t>
    </r>
    <r>
      <rPr>
        <sz val="10"/>
        <color indexed="8"/>
        <rFont val="MS sans serif"/>
        <charset val="134"/>
      </rPr>
      <t>Rhode Island</t>
    </r>
  </si>
  <si>
    <r>
      <t>.</t>
    </r>
    <r>
      <rPr>
        <sz val="10"/>
        <color indexed="8"/>
        <rFont val="MS sans serif"/>
        <charset val="134"/>
      </rPr>
      <t>South Carolina</t>
    </r>
  </si>
  <si>
    <r>
      <t>.</t>
    </r>
    <r>
      <rPr>
        <sz val="10"/>
        <color indexed="8"/>
        <rFont val="MS sans serif"/>
        <charset val="134"/>
      </rPr>
      <t>South Dakota</t>
    </r>
  </si>
  <si>
    <r>
      <t>.</t>
    </r>
    <r>
      <rPr>
        <sz val="10"/>
        <color indexed="8"/>
        <rFont val="MS sans serif"/>
        <charset val="134"/>
      </rPr>
      <t>Tennessee</t>
    </r>
  </si>
  <si>
    <r>
      <t>.</t>
    </r>
    <r>
      <rPr>
        <sz val="10"/>
        <color indexed="8"/>
        <rFont val="MS sans serif"/>
        <charset val="134"/>
      </rPr>
      <t>Texas</t>
    </r>
  </si>
  <si>
    <r>
      <t>.</t>
    </r>
    <r>
      <rPr>
        <sz val="10"/>
        <color indexed="8"/>
        <rFont val="MS sans serif"/>
        <charset val="134"/>
      </rPr>
      <t>Utah</t>
    </r>
  </si>
  <si>
    <r>
      <t>.</t>
    </r>
    <r>
      <rPr>
        <sz val="10"/>
        <color indexed="8"/>
        <rFont val="MS sans serif"/>
        <charset val="134"/>
      </rPr>
      <t>Vermont</t>
    </r>
  </si>
  <si>
    <r>
      <t>.</t>
    </r>
    <r>
      <rPr>
        <sz val="10"/>
        <color indexed="8"/>
        <rFont val="MS sans serif"/>
        <charset val="134"/>
      </rPr>
      <t>Virginia</t>
    </r>
  </si>
  <si>
    <r>
      <t>.</t>
    </r>
    <r>
      <rPr>
        <sz val="10"/>
        <color indexed="8"/>
        <rFont val="MS sans serif"/>
        <charset val="134"/>
      </rPr>
      <t>Washington</t>
    </r>
  </si>
  <si>
    <r>
      <t>.</t>
    </r>
    <r>
      <rPr>
        <sz val="10"/>
        <color indexed="8"/>
        <rFont val="MS sans serif"/>
        <charset val="134"/>
      </rPr>
      <t>West Virginia</t>
    </r>
  </si>
  <si>
    <r>
      <t>.</t>
    </r>
    <r>
      <rPr>
        <sz val="10"/>
        <color indexed="8"/>
        <rFont val="MS sans serif"/>
        <charset val="134"/>
      </rPr>
      <t>Wisconsin</t>
    </r>
  </si>
  <si>
    <r>
      <t>.</t>
    </r>
    <r>
      <rPr>
        <sz val="10"/>
        <color indexed="8"/>
        <rFont val="MS sans serif"/>
        <charset val="134"/>
      </rPr>
      <t>Wyoming</t>
    </r>
  </si>
  <si>
    <r>
      <t>.</t>
    </r>
    <r>
      <rPr>
        <b/>
        <sz val="10"/>
        <color indexed="8"/>
        <rFont val="MS sans serif"/>
      </rPr>
      <t>District of Columbia</t>
    </r>
  </si>
  <si>
    <t>Northeast</t>
  </si>
  <si>
    <t>Midwest</t>
  </si>
  <si>
    <t>South</t>
  </si>
  <si>
    <t>West</t>
  </si>
  <si>
    <t>Puerto Rico</t>
  </si>
  <si>
    <t>Note: The estimates are based on the 2010 Census and reflect changes to the April 1, 2010 population due to the Count Question Resolution program and geographic program revisions. See Geographic Terms and Definitions at http://www.census.gov/programs-surveys/popest/guidance-geographies/terms-and-definitions.html for a list of the states that are included in each region.  All geographic boundaries for the 2019 population estimates series except statistical area delineations are as of January 1, 2019.  For population estimates methodology statements, see http://www.census.gov/programs-surveys/popest/technical-documentation/methodology.html.</t>
  </si>
  <si>
    <t>Suggested Citation:</t>
  </si>
  <si>
    <t>Table 1. Annual Estimates of the Resident Population for the United States, Regions, States, and Puerto Rico: April 1, 2010 to July 1, 2019 (NST-EST2019-01)</t>
  </si>
  <si>
    <t>Source: U.S. Census Bureau, Population Division</t>
  </si>
  <si>
    <t>Release Date: December 2019</t>
  </si>
  <si>
    <t>California All Sectors (2019, aggregated)</t>
  </si>
  <si>
    <t>California Manufacturing Sector (2019)</t>
  </si>
  <si>
    <t>California All Sectors (2019, full)</t>
  </si>
  <si>
    <t>Description</t>
  </si>
  <si>
    <t>NAICS ID</t>
  </si>
  <si>
    <t>Location</t>
  </si>
  <si>
    <t>Desctiption</t>
  </si>
  <si>
    <t>Agriculture, Forestry, Fishing and Hunting</t>
  </si>
  <si>
    <t>RoUS</t>
  </si>
  <si>
    <t>US-CA</t>
  </si>
  <si>
    <t>Oilseeds, grains, vegetables, fruits, animal farms and aquaculture</t>
  </si>
  <si>
    <t>Agriculture</t>
  </si>
  <si>
    <t>RoW</t>
  </si>
  <si>
    <t>Mining</t>
  </si>
  <si>
    <t>Raw forest products, wild-caught fish and game, agriculture and forestry support</t>
  </si>
  <si>
    <t>Utilities</t>
  </si>
  <si>
    <t>Unrefined oil and gas</t>
  </si>
  <si>
    <t>3361MV</t>
  </si>
  <si>
    <t>3364OT</t>
  </si>
  <si>
    <t>Construction</t>
  </si>
  <si>
    <t>Metal ores, dimensional stone, nonmetallic minerals</t>
  </si>
  <si>
    <t>311FT</t>
  </si>
  <si>
    <t>Manufacturing</t>
  </si>
  <si>
    <t>31G</t>
  </si>
  <si>
    <t>313TT</t>
  </si>
  <si>
    <t>Well drilling and support activities for mining</t>
  </si>
  <si>
    <t>315AL</t>
  </si>
  <si>
    <t>Wholesale</t>
  </si>
  <si>
    <t>Electricity, natural gas, drinking water, and wastewater treatment</t>
  </si>
  <si>
    <t>Retail</t>
  </si>
  <si>
    <t>44RT</t>
  </si>
  <si>
    <t>Transport/Warehouse</t>
  </si>
  <si>
    <t>48TW</t>
  </si>
  <si>
    <t>Food and beverage and tobacco products</t>
  </si>
  <si>
    <t>Information</t>
  </si>
  <si>
    <t>Textiles and textile-derived products (except clothes)</t>
  </si>
  <si>
    <t>Education and Healthcare</t>
  </si>
  <si>
    <t>Clothing and leather</t>
  </si>
  <si>
    <t>Entertainment, Accomodation, and Food Services</t>
  </si>
  <si>
    <t>Wood products (e.g. plywood, veneer)</t>
  </si>
  <si>
    <t>Other Services</t>
  </si>
  <si>
    <t>Paper products and paper production facilities</t>
  </si>
  <si>
    <t>Direct Household Emissions (e.g. fuel burned in private vehicles)</t>
  </si>
  <si>
    <t>F010-Mobile</t>
  </si>
  <si>
    <t>Print media and printing support</t>
  </si>
  <si>
    <t>Direct Household Emissions (e.g. fuel burned in private homes)</t>
  </si>
  <si>
    <t>F010-Stationary</t>
  </si>
  <si>
    <t>Petroleum fuels, asphalt, and other petroleum and coal products</t>
  </si>
  <si>
    <t>Finance, Insurance, and Real Estate</t>
  </si>
  <si>
    <t>FIRE</t>
  </si>
  <si>
    <t>Agricultural, pharmaceutical, industrial, and commercial chemicals</t>
  </si>
  <si>
    <t>Government</t>
  </si>
  <si>
    <t>G</t>
  </si>
  <si>
    <t>Plastics and rubber products</t>
  </si>
  <si>
    <t>Used/other?</t>
  </si>
  <si>
    <t>PROF</t>
  </si>
  <si>
    <t>Clay, glass, cement, concrete, and other nonmetallic mineral products</t>
  </si>
  <si>
    <t>Primary and secondary ferrous and nonferrous metals</t>
  </si>
  <si>
    <t xml:space="preserve">Note: CBE emissions occuring in CA are greater than TE! This is not possible. See Wesley's (incomplete) explanation here https://github.com/cornerstone-data/USEEIO-State/issues/1 </t>
  </si>
  <si>
    <t>Fabricated metal products (e.g. architectural and structural metal products)</t>
  </si>
  <si>
    <t>Machinery (except computers)</t>
  </si>
  <si>
    <t>Computers and relevant parts, conductors, measuring devices, communication devices</t>
  </si>
  <si>
    <t>Lights and light fixtures, switch boards, transformers, and home appliances</t>
  </si>
  <si>
    <t>On-road vehicles (excluding motorcycles) and accompanying parts</t>
  </si>
  <si>
    <t>Other vehicles (e.g. aircraft, water vessels), missiles, and accompanying parts</t>
  </si>
  <si>
    <t>Furniture and shelving</t>
  </si>
  <si>
    <t>Medical supplies, entertainment and sporting goods, fashion goods, advertising products</t>
  </si>
  <si>
    <t>Wholesale trade</t>
  </si>
  <si>
    <t>Vehicles and parts sales</t>
  </si>
  <si>
    <t>Retail trade</t>
  </si>
  <si>
    <t>Food and beverage stores</t>
  </si>
  <si>
    <t>General merchandise stores</t>
  </si>
  <si>
    <t>Air transport</t>
  </si>
  <si>
    <t>Transportation and warehousing</t>
  </si>
  <si>
    <t>Rail transport</t>
  </si>
  <si>
    <t>Water transport (boats, ships, ferries)</t>
  </si>
  <si>
    <t>Truck transport</t>
  </si>
  <si>
    <t>Passenger ground transport</t>
  </si>
  <si>
    <t>Pipeline transport</t>
  </si>
  <si>
    <t>Couriers, messengers, transportation for leisure activities</t>
  </si>
  <si>
    <t>Warehouses</t>
  </si>
  <si>
    <t>Other retail</t>
  </si>
  <si>
    <t>Media, literature, and software</t>
  </si>
  <si>
    <t>Film and sound-based entertainment</t>
  </si>
  <si>
    <t>Radio, TV, telecommunication</t>
  </si>
  <si>
    <t>Data processing, internet publishing, and other information services</t>
  </si>
  <si>
    <t>Monetary authorities, depository and nondepository credit intermediation and related activities</t>
  </si>
  <si>
    <t>Finance, insurance, real estate, rental, and leasing</t>
  </si>
  <si>
    <t>Financial investments, exchanges, and advising</t>
  </si>
  <si>
    <t>Insurance agencies, carriers, and brokerages</t>
  </si>
  <si>
    <t>Funds, trusts, and financial vehicles</t>
  </si>
  <si>
    <t>Renting and leasing of goods, equipment, vehicles and nonfinancial intangible assets</t>
  </si>
  <si>
    <t>Legal services</t>
  </si>
  <si>
    <t>Professional and business services</t>
  </si>
  <si>
    <t>Miscellaneous professional, scientific, and technical services</t>
  </si>
  <si>
    <t>Computer programming and systems design</t>
  </si>
  <si>
    <t>Company and enterprise management</t>
  </si>
  <si>
    <t>Administrative and support services</t>
  </si>
  <si>
    <t>Waste management and remediation services</t>
  </si>
  <si>
    <t>Educational institutions and services</t>
  </si>
  <si>
    <t>Educational services, health care, and social assistance</t>
  </si>
  <si>
    <t>Healthcare professions, laboratories, and ambulances</t>
  </si>
  <si>
    <t>Hospitals</t>
  </si>
  <si>
    <t>Nursing, community, mental health, and substance abuse facilities</t>
  </si>
  <si>
    <t>Child day care, community food services, housing services, and other relief services</t>
  </si>
  <si>
    <t>Performing arts, spectator sports, museums, and related activities</t>
  </si>
  <si>
    <t>Arts, entertainment, recreation, accommodation, and food services</t>
  </si>
  <si>
    <t>Amusement facilities, gambling facilities, resort and recreation facilities</t>
  </si>
  <si>
    <t>Hotels and campgrounds</t>
  </si>
  <si>
    <t>Food and beverage establishments</t>
  </si>
  <si>
    <t>Other services, except government</t>
  </si>
  <si>
    <t>NA</t>
  </si>
  <si>
    <t>Federal electric utilities and postal service</t>
  </si>
  <si>
    <t>Federal general government (defense)</t>
  </si>
  <si>
    <t>Federal general government (nondefense)</t>
  </si>
  <si>
    <t>Other state and local government enterprises including transit and utilities</t>
  </si>
  <si>
    <t>State and local general government</t>
  </si>
  <si>
    <t>Housing</t>
  </si>
  <si>
    <t>Other real estate</t>
  </si>
  <si>
    <t>Noncomparable imports and rest-of-the-world adjustment</t>
  </si>
  <si>
    <t>Other</t>
  </si>
  <si>
    <t>Scrap, used and secondhand goods</t>
  </si>
  <si>
    <t>Used</t>
  </si>
  <si>
    <t xml:space="preserve">Aggregate Category </t>
  </si>
  <si>
    <t xml:space="preserve">Code </t>
  </si>
  <si>
    <t xml:space="preserve">Name </t>
  </si>
  <si>
    <t>111CA</t>
  </si>
  <si>
    <t>113FF</t>
  </si>
  <si>
    <t>4A0</t>
  </si>
  <si>
    <t>487OS</t>
  </si>
  <si>
    <t>521CI</t>
  </si>
  <si>
    <t>HS</t>
  </si>
  <si>
    <t>ORE</t>
  </si>
  <si>
    <t>532RL</t>
  </si>
  <si>
    <t>5412OP</t>
  </si>
  <si>
    <t>711AS</t>
  </si>
  <si>
    <t>GFGD</t>
  </si>
  <si>
    <t>GFGN</t>
  </si>
  <si>
    <t>GFE</t>
  </si>
  <si>
    <t>GSLG</t>
  </si>
  <si>
    <t>GSLE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</si>
</sst>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
  </numFmts>
  <fonts count="20">
    <font>
      <sz val="11"/>
      <color theme="1"/>
      <name val="Aptos Narrow"/>
      <family val="2"/>
      <scheme val="minor"/>
    </font>
    <font>
      <b/>
      <sz val="11"/>
      <color theme="1"/>
      <name val="Aptos Narrow"/>
      <family val="2"/>
      <scheme val="minor"/>
    </font>
    <font>
      <b/>
      <sz val="10"/>
      <color indexed="8"/>
      <name val="MS sans serif"/>
      <charset val="134"/>
    </font>
    <font>
      <sz val="10"/>
      <color indexed="8"/>
      <name val="MS sans serif"/>
      <charset val="134"/>
    </font>
    <font>
      <sz val="10"/>
      <color indexed="9"/>
      <name val="MS sans serif"/>
      <charset val="134"/>
    </font>
    <font>
      <sz val="8"/>
      <name val="Arial"/>
      <family val="2"/>
    </font>
    <font>
      <b/>
      <sz val="8"/>
      <color indexed="8"/>
      <name val="Arial"/>
      <family val="2"/>
    </font>
    <font>
      <sz val="6"/>
      <color rgb="FF000000"/>
      <name val="Segoe UI"/>
      <family val="2"/>
    </font>
    <font>
      <b/>
      <sz val="6"/>
      <color rgb="FF000000"/>
      <name val="Segoe UI"/>
      <family val="2"/>
    </font>
    <font>
      <sz val="11"/>
      <color indexed="8"/>
      <name val="Calibri"/>
      <family val="2"/>
    </font>
    <font>
      <b/>
      <sz val="10"/>
      <color indexed="9"/>
      <name val="MS sans serif"/>
    </font>
    <font>
      <b/>
      <sz val="10"/>
      <color indexed="8"/>
      <name val="MS sans serif"/>
    </font>
    <font>
      <b/>
      <sz val="11"/>
      <color rgb="FF000000"/>
      <name val="Aptos Narrow"/>
      <family val="2"/>
      <scheme val="minor"/>
    </font>
    <font>
      <sz val="11"/>
      <color rgb="FF000000"/>
      <name val="Aptos Narrow"/>
      <family val="2"/>
      <scheme val="minor"/>
    </font>
    <font>
      <sz val="6"/>
      <color theme="1"/>
      <name val="Segoe UI"/>
      <family val="2"/>
    </font>
    <font>
      <sz val="12"/>
      <color theme="1"/>
      <name val="Times New Roman"/>
      <family val="1"/>
    </font>
    <font>
      <b/>
      <sz val="12"/>
      <color theme="1"/>
      <name val="Times New Roman"/>
      <family val="1"/>
    </font>
    <font>
      <b/>
      <sz val="6"/>
      <color theme="1"/>
      <name val="Segoe UI"/>
      <family val="2"/>
    </font>
    <font>
      <i/>
      <sz val="6"/>
      <color rgb="FFB0B0B0"/>
      <name val="Segoe UI"/>
      <family val="2"/>
    </font>
    <font>
      <sz val="11"/>
      <color rgb="FF000000"/>
      <name val="Calibri"/>
      <charset val="134"/>
    </font>
  </fonts>
  <fills count="7">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theme="0"/>
        <bgColor indexed="64"/>
      </patternFill>
    </fill>
    <fill>
      <patternFill patternType="solid">
        <fgColor theme="3" tint="0.89999084444715716"/>
        <bgColor indexed="64"/>
      </patternFill>
    </fill>
    <fill>
      <patternFill patternType="solid">
        <fgColor rgb="FFF4F8F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rgb="FFD6DADC"/>
      </right>
      <top/>
      <bottom style="medium">
        <color rgb="FFD6DADC"/>
      </bottom>
      <diagonal/>
    </border>
    <border>
      <left/>
      <right style="medium">
        <color rgb="FFD6DADC"/>
      </right>
      <top/>
      <bottom/>
      <diagonal/>
    </border>
    <border>
      <left style="medium">
        <color rgb="FFD6DADC"/>
      </left>
      <right style="medium">
        <color rgb="FFD6DADC"/>
      </right>
      <top/>
      <bottom/>
      <diagonal/>
    </border>
    <border>
      <left style="medium">
        <color rgb="FFD6DADC"/>
      </left>
      <right style="medium">
        <color rgb="FFD6DADC"/>
      </right>
      <top/>
      <bottom style="medium">
        <color rgb="FFD6DADC"/>
      </bottom>
      <diagonal/>
    </border>
  </borders>
  <cellStyleXfs count="1">
    <xf numFmtId="0" fontId="0" fillId="0" borderId="0"/>
  </cellStyleXfs>
  <cellXfs count="66">
    <xf numFmtId="0" fontId="0" fillId="0" borderId="0" xfId="0"/>
    <xf numFmtId="0" fontId="2" fillId="0" borderId="5" xfId="0" applyFont="1" applyBorder="1" applyAlignment="1" applyProtection="1">
      <alignment horizontal="center" vertical="center" wrapText="1"/>
      <protection locked="0"/>
    </xf>
    <xf numFmtId="0" fontId="2" fillId="0" borderId="5" xfId="0" applyFont="1" applyBorder="1" applyAlignment="1" applyProtection="1">
      <alignment horizontal="left" indent="1"/>
      <protection locked="0"/>
    </xf>
    <xf numFmtId="3" fontId="3" fillId="0" borderId="5" xfId="0" applyNumberFormat="1" applyFont="1" applyBorder="1" applyAlignment="1" applyProtection="1">
      <alignment horizontal="right"/>
      <protection locked="0"/>
    </xf>
    <xf numFmtId="0" fontId="2" fillId="0" borderId="6" xfId="0" applyFont="1" applyBorder="1" applyAlignment="1" applyProtection="1">
      <alignment horizontal="left" indent="1"/>
      <protection locked="0"/>
    </xf>
    <xf numFmtId="3" fontId="3" fillId="0" borderId="6" xfId="0" applyNumberFormat="1" applyFont="1" applyBorder="1" applyAlignment="1" applyProtection="1">
      <alignment horizontal="right"/>
      <protection locked="0"/>
    </xf>
    <xf numFmtId="0" fontId="2" fillId="0" borderId="4" xfId="0" applyFont="1" applyBorder="1" applyAlignment="1" applyProtection="1">
      <alignment horizontal="left" indent="1"/>
      <protection locked="0"/>
    </xf>
    <xf numFmtId="3" fontId="3" fillId="0" borderId="4" xfId="0" applyNumberFormat="1" applyFont="1" applyBorder="1" applyAlignment="1" applyProtection="1">
      <alignment horizontal="right"/>
      <protection locked="0"/>
    </xf>
    <xf numFmtId="0" fontId="4" fillId="0" borderId="6" xfId="0" applyFont="1" applyBorder="1" applyProtection="1">
      <protection locked="0"/>
    </xf>
    <xf numFmtId="0" fontId="2" fillId="0" borderId="6" xfId="0" applyFont="1" applyBorder="1" applyProtection="1">
      <protection locked="0"/>
    </xf>
    <xf numFmtId="165" fontId="0" fillId="0" borderId="0" xfId="0" applyNumberFormat="1"/>
    <xf numFmtId="0" fontId="1" fillId="0" borderId="0" xfId="0" applyFont="1"/>
    <xf numFmtId="0" fontId="0" fillId="0" borderId="0" xfId="0" applyAlignment="1">
      <alignment horizontal="right" vertical="center" wrapText="1"/>
    </xf>
    <xf numFmtId="0" fontId="1" fillId="0" borderId="0" xfId="0" applyFont="1" applyAlignment="1">
      <alignment horizontal="right" vertical="center" wrapText="1"/>
    </xf>
    <xf numFmtId="166" fontId="0" fillId="0" borderId="0" xfId="0" applyNumberFormat="1" applyAlignment="1">
      <alignment horizontal="right" vertical="center" wrapText="1"/>
    </xf>
    <xf numFmtId="0" fontId="7" fillId="2" borderId="15" xfId="0" applyFont="1" applyFill="1" applyBorder="1" applyAlignment="1">
      <alignment vertical="center"/>
    </xf>
    <xf numFmtId="0" fontId="9" fillId="0" borderId="0" xfId="0" applyFont="1" applyAlignment="1">
      <alignment vertical="center"/>
    </xf>
    <xf numFmtId="0" fontId="10" fillId="0" borderId="6" xfId="0" applyFont="1" applyBorder="1" applyProtection="1">
      <protection locked="0"/>
    </xf>
    <xf numFmtId="0" fontId="9" fillId="0" borderId="0" xfId="0" quotePrefix="1" applyFont="1" applyAlignment="1">
      <alignment vertical="center"/>
    </xf>
    <xf numFmtId="165" fontId="13" fillId="2" borderId="15" xfId="0" applyNumberFormat="1" applyFont="1" applyFill="1" applyBorder="1" applyAlignment="1">
      <alignment horizontal="right" vertical="center"/>
    </xf>
    <xf numFmtId="165" fontId="13" fillId="2" borderId="15" xfId="0" applyNumberFormat="1" applyFont="1" applyFill="1" applyBorder="1" applyAlignment="1">
      <alignment vertical="center"/>
    </xf>
    <xf numFmtId="0" fontId="0" fillId="5" borderId="0" xfId="0" applyFill="1"/>
    <xf numFmtId="0" fontId="0" fillId="5" borderId="0" xfId="0" applyFill="1" applyAlignment="1">
      <alignment horizontal="left"/>
    </xf>
    <xf numFmtId="0" fontId="12" fillId="5" borderId="15" xfId="0" applyFont="1" applyFill="1" applyBorder="1" applyAlignment="1">
      <alignment horizontal="left" vertical="center"/>
    </xf>
    <xf numFmtId="0" fontId="1" fillId="5" borderId="0" xfId="0" applyFont="1" applyFill="1" applyAlignment="1">
      <alignment horizontal="left"/>
    </xf>
    <xf numFmtId="0" fontId="1" fillId="5" borderId="0" xfId="0" applyFont="1" applyFill="1"/>
    <xf numFmtId="0" fontId="0" fillId="5" borderId="0" xfId="0" applyFill="1" applyAlignment="1">
      <alignment horizontal="left" vertical="center" wrapText="1"/>
    </xf>
    <xf numFmtId="0" fontId="12" fillId="5" borderId="16" xfId="0" applyFont="1" applyFill="1" applyBorder="1" applyAlignment="1">
      <alignment horizontal="left" vertical="center"/>
    </xf>
    <xf numFmtId="0" fontId="7" fillId="4" borderId="15" xfId="0" applyFont="1" applyFill="1" applyBorder="1" applyAlignment="1">
      <alignment horizontal="right" vertical="center"/>
    </xf>
    <xf numFmtId="0" fontId="7" fillId="4" borderId="15" xfId="0" applyFont="1" applyFill="1" applyBorder="1" applyAlignment="1">
      <alignment vertical="center"/>
    </xf>
    <xf numFmtId="0" fontId="14" fillId="0" borderId="15" xfId="0" applyFont="1" applyBorder="1" applyAlignment="1">
      <alignment vertical="center"/>
    </xf>
    <xf numFmtId="11" fontId="14" fillId="0" borderId="15" xfId="0" applyNumberFormat="1" applyFont="1" applyBorder="1" applyAlignment="1">
      <alignment horizontal="right" vertical="center"/>
    </xf>
    <xf numFmtId="11" fontId="0" fillId="0" borderId="0" xfId="0" applyNumberFormat="1"/>
    <xf numFmtId="0" fontId="14" fillId="0" borderId="15" xfId="0" applyFont="1" applyBorder="1" applyAlignment="1">
      <alignment horizontal="right" vertical="center"/>
    </xf>
    <xf numFmtId="0" fontId="16" fillId="0" borderId="0" xfId="0" applyFont="1" applyAlignment="1">
      <alignment vertical="center" wrapText="1"/>
    </xf>
    <xf numFmtId="0" fontId="15" fillId="0" borderId="0" xfId="0" applyFont="1" applyAlignment="1">
      <alignment vertical="center" wrapText="1"/>
    </xf>
    <xf numFmtId="0" fontId="17" fillId="0" borderId="0" xfId="0" applyFont="1" applyAlignment="1">
      <alignment wrapText="1"/>
    </xf>
    <xf numFmtId="0" fontId="8" fillId="6" borderId="15" xfId="0" applyFont="1" applyFill="1" applyBorder="1" applyAlignment="1">
      <alignment horizontal="right" vertical="center" wrapText="1"/>
    </xf>
    <xf numFmtId="0" fontId="0" fillId="0" borderId="0" xfId="0" applyAlignment="1">
      <alignment wrapText="1"/>
    </xf>
    <xf numFmtId="165" fontId="9" fillId="0" borderId="0" xfId="0" applyNumberFormat="1" applyFont="1" applyAlignment="1">
      <alignment vertical="center"/>
    </xf>
    <xf numFmtId="165" fontId="9" fillId="0" borderId="0" xfId="0" quotePrefix="1" applyNumberFormat="1" applyFont="1" applyAlignment="1">
      <alignment vertical="center"/>
    </xf>
    <xf numFmtId="0" fontId="7" fillId="2" borderId="15" xfId="0" applyFont="1" applyFill="1" applyBorder="1" applyAlignment="1">
      <alignment horizontal="right" vertical="center"/>
    </xf>
    <xf numFmtId="0" fontId="18" fillId="2" borderId="15" xfId="0" applyFont="1" applyFill="1" applyBorder="1" applyAlignment="1">
      <alignment vertical="center"/>
    </xf>
    <xf numFmtId="0" fontId="19" fillId="0" borderId="0" xfId="0" applyFont="1" applyAlignment="1">
      <alignment vertical="center"/>
    </xf>
    <xf numFmtId="3" fontId="0" fillId="0" borderId="0" xfId="0" applyNumberFormat="1"/>
    <xf numFmtId="0" fontId="2" fillId="0" borderId="4" xfId="0" applyFont="1" applyBorder="1" applyAlignment="1" applyProtection="1">
      <alignment horizontal="center" vertical="center"/>
      <protection locked="0"/>
    </xf>
    <xf numFmtId="0" fontId="6" fillId="3" borderId="10" xfId="0" applyFont="1" applyFill="1" applyBorder="1" applyAlignment="1" applyProtection="1">
      <alignment wrapText="1"/>
      <protection locked="0"/>
    </xf>
    <xf numFmtId="0" fontId="6" fillId="3" borderId="0" xfId="0" applyFont="1" applyFill="1" applyAlignment="1" applyProtection="1">
      <alignment wrapText="1"/>
      <protection locked="0"/>
    </xf>
    <xf numFmtId="0" fontId="6" fillId="3" borderId="11" xfId="0" applyFont="1" applyFill="1" applyBorder="1" applyAlignment="1" applyProtection="1">
      <alignment wrapText="1"/>
      <protection locked="0"/>
    </xf>
    <xf numFmtId="0" fontId="6" fillId="3" borderId="12" xfId="0" applyFont="1" applyFill="1" applyBorder="1" applyProtection="1">
      <protection locked="0"/>
    </xf>
    <xf numFmtId="0" fontId="6" fillId="3" borderId="13" xfId="0" applyFont="1" applyFill="1" applyBorder="1" applyProtection="1">
      <protection locked="0"/>
    </xf>
    <xf numFmtId="0" fontId="6" fillId="3" borderId="14" xfId="0" applyFont="1" applyFill="1" applyBorder="1" applyProtection="1">
      <protection locked="0"/>
    </xf>
    <xf numFmtId="0" fontId="6" fillId="3" borderId="7" xfId="0" applyFont="1" applyFill="1" applyBorder="1" applyProtection="1">
      <protection locked="0"/>
    </xf>
    <xf numFmtId="0" fontId="6" fillId="3" borderId="8" xfId="0" applyFont="1" applyFill="1" applyBorder="1" applyProtection="1">
      <protection locked="0"/>
    </xf>
    <xf numFmtId="0" fontId="6" fillId="3" borderId="9" xfId="0" applyFont="1" applyFill="1" applyBorder="1" applyProtection="1">
      <protection locked="0"/>
    </xf>
    <xf numFmtId="0" fontId="5" fillId="0" borderId="1" xfId="0" applyFont="1" applyBorder="1" applyAlignment="1" applyProtection="1">
      <alignment wrapText="1"/>
      <protection locked="0"/>
    </xf>
    <xf numFmtId="0" fontId="5" fillId="0" borderId="2" xfId="0" applyFont="1" applyBorder="1" applyAlignment="1" applyProtection="1">
      <alignment wrapText="1"/>
      <protection locked="0"/>
    </xf>
    <xf numFmtId="0" fontId="5" fillId="0" borderId="3" xfId="0" applyFont="1" applyBorder="1" applyAlignment="1" applyProtection="1">
      <alignment wrapText="1"/>
      <protection locked="0"/>
    </xf>
    <xf numFmtId="0" fontId="17" fillId="0" borderId="16" xfId="0" applyFont="1" applyBorder="1" applyAlignment="1">
      <alignment horizontal="center" vertical="center" wrapText="1"/>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0" fillId="0" borderId="0" xfId="0" applyAlignment="1">
      <alignment horizontal="center"/>
    </xf>
    <xf numFmtId="0" fontId="8" fillId="0" borderId="16" xfId="0" applyFont="1" applyBorder="1" applyAlignment="1">
      <alignment horizontal="center" vertical="center" wrapText="1"/>
    </xf>
    <xf numFmtId="0" fontId="8" fillId="0" borderId="1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F4D5-827F-4089-B7AE-ED63DF0CCCE7}">
  <dimension ref="A1:K52"/>
  <sheetViews>
    <sheetView topLeftCell="E1" workbookViewId="0">
      <selection activeCell="N1" sqref="N1:R1048576"/>
    </sheetView>
  </sheetViews>
  <sheetFormatPr baseColWidth="10" defaultColWidth="8.83203125" defaultRowHeight="15"/>
  <cols>
    <col min="1" max="1" width="8.6640625" style="22"/>
    <col min="3" max="3" width="8.6640625" customWidth="1"/>
  </cols>
  <sheetData>
    <row r="1" spans="1:11">
      <c r="B1" t="s">
        <v>0</v>
      </c>
      <c r="C1" t="s">
        <v>1</v>
      </c>
      <c r="D1">
        <v>2012</v>
      </c>
      <c r="E1">
        <v>2013</v>
      </c>
      <c r="F1">
        <v>2014</v>
      </c>
      <c r="G1">
        <v>2015</v>
      </c>
      <c r="H1">
        <v>2016</v>
      </c>
      <c r="I1">
        <v>2017</v>
      </c>
      <c r="J1">
        <v>2018</v>
      </c>
      <c r="K1">
        <v>2019</v>
      </c>
    </row>
    <row r="2" spans="1:11">
      <c r="A2" s="24" t="s">
        <v>2</v>
      </c>
      <c r="B2" t="s">
        <v>3</v>
      </c>
      <c r="C2" t="s">
        <v>4</v>
      </c>
      <c r="D2">
        <v>16197007</v>
      </c>
      <c r="E2">
        <v>16495369</v>
      </c>
      <c r="F2">
        <v>16912038</v>
      </c>
      <c r="G2">
        <v>17403843</v>
      </c>
      <c r="H2">
        <v>17688890</v>
      </c>
      <c r="I2">
        <v>18108082</v>
      </c>
      <c r="J2">
        <v>18638164</v>
      </c>
      <c r="K2">
        <v>19073056</v>
      </c>
    </row>
    <row r="3" spans="1:11" ht="16" thickBot="1">
      <c r="A3" s="23" t="s">
        <v>5</v>
      </c>
      <c r="B3" t="s">
        <v>6</v>
      </c>
      <c r="C3" t="s">
        <v>4</v>
      </c>
      <c r="D3">
        <v>186299</v>
      </c>
      <c r="E3">
        <v>188165.1</v>
      </c>
      <c r="F3">
        <v>186849</v>
      </c>
      <c r="G3">
        <v>189339.1</v>
      </c>
      <c r="H3">
        <v>190703</v>
      </c>
      <c r="I3">
        <v>193023.9</v>
      </c>
      <c r="J3">
        <v>198435.9</v>
      </c>
      <c r="K3">
        <v>202940.3</v>
      </c>
    </row>
    <row r="4" spans="1:11" ht="16" thickBot="1">
      <c r="A4" s="23" t="s">
        <v>7</v>
      </c>
      <c r="B4" t="s">
        <v>8</v>
      </c>
      <c r="C4" t="s">
        <v>4</v>
      </c>
      <c r="D4">
        <v>57670.1</v>
      </c>
      <c r="E4">
        <v>54750</v>
      </c>
      <c r="F4">
        <v>53273</v>
      </c>
      <c r="G4">
        <v>53798.7</v>
      </c>
      <c r="H4">
        <v>52710.7</v>
      </c>
      <c r="I4">
        <v>52727.4</v>
      </c>
      <c r="J4">
        <v>53092.4</v>
      </c>
      <c r="K4">
        <v>54442.9</v>
      </c>
    </row>
    <row r="5" spans="1:11" ht="16" thickBot="1">
      <c r="A5" s="23" t="s">
        <v>9</v>
      </c>
      <c r="B5" t="s">
        <v>10</v>
      </c>
      <c r="C5" t="s">
        <v>4</v>
      </c>
      <c r="D5">
        <v>268288.8</v>
      </c>
      <c r="E5">
        <v>270148.90000000002</v>
      </c>
      <c r="F5">
        <v>273677.09999999998</v>
      </c>
      <c r="G5">
        <v>280229.5</v>
      </c>
      <c r="H5">
        <v>289230.40000000002</v>
      </c>
      <c r="I5">
        <v>299405.7</v>
      </c>
      <c r="J5">
        <v>311705.59999999998</v>
      </c>
      <c r="K5">
        <v>321431.90000000002</v>
      </c>
    </row>
    <row r="6" spans="1:11" ht="16" thickBot="1">
      <c r="A6" s="23" t="s">
        <v>11</v>
      </c>
      <c r="B6" t="s">
        <v>12</v>
      </c>
      <c r="C6" t="s">
        <v>4</v>
      </c>
      <c r="D6">
        <v>108745.2</v>
      </c>
      <c r="E6">
        <v>111778.9</v>
      </c>
      <c r="F6">
        <v>112932.1</v>
      </c>
      <c r="G6">
        <v>113860.9</v>
      </c>
      <c r="H6">
        <v>114541.2</v>
      </c>
      <c r="I6">
        <v>115346.7</v>
      </c>
      <c r="J6">
        <v>117293.8</v>
      </c>
      <c r="K6">
        <v>119443.4</v>
      </c>
    </row>
    <row r="7" spans="1:11" ht="16" thickBot="1">
      <c r="A7" s="23" t="s">
        <v>13</v>
      </c>
      <c r="B7" t="s">
        <v>14</v>
      </c>
      <c r="C7" t="s">
        <v>4</v>
      </c>
      <c r="D7">
        <v>2144497.2999999998</v>
      </c>
      <c r="E7">
        <v>2220867.6</v>
      </c>
      <c r="F7">
        <v>2312540.1</v>
      </c>
      <c r="G7">
        <v>2428598.4</v>
      </c>
      <c r="H7">
        <v>2500950.4</v>
      </c>
      <c r="I7">
        <v>2610682.2999999998</v>
      </c>
      <c r="J7">
        <v>2721651</v>
      </c>
      <c r="K7">
        <v>2792029.1</v>
      </c>
    </row>
    <row r="8" spans="1:11" ht="16" thickBot="1">
      <c r="A8" s="23" t="s">
        <v>15</v>
      </c>
      <c r="B8" t="s">
        <v>16</v>
      </c>
      <c r="C8" t="s">
        <v>4</v>
      </c>
      <c r="D8">
        <v>273519.5</v>
      </c>
      <c r="E8">
        <v>282533.90000000002</v>
      </c>
      <c r="F8">
        <v>295698.59999999998</v>
      </c>
      <c r="G8">
        <v>309179.59999999998</v>
      </c>
      <c r="H8">
        <v>316751.8</v>
      </c>
      <c r="I8">
        <v>329573.7</v>
      </c>
      <c r="J8">
        <v>341076.7</v>
      </c>
      <c r="K8">
        <v>353076.6</v>
      </c>
    </row>
    <row r="9" spans="1:11" ht="16" thickBot="1">
      <c r="A9" s="23" t="s">
        <v>17</v>
      </c>
      <c r="B9" t="s">
        <v>18</v>
      </c>
      <c r="C9" t="s">
        <v>4</v>
      </c>
      <c r="D9">
        <v>243801</v>
      </c>
      <c r="E9">
        <v>241081.2</v>
      </c>
      <c r="F9">
        <v>237784.3</v>
      </c>
      <c r="G9">
        <v>242910.7</v>
      </c>
      <c r="H9">
        <v>242793.9</v>
      </c>
      <c r="I9">
        <v>243682.5</v>
      </c>
      <c r="J9">
        <v>244925.7</v>
      </c>
      <c r="K9">
        <v>248818.7</v>
      </c>
    </row>
    <row r="10" spans="1:11" ht="16" thickBot="1">
      <c r="A10" s="23" t="s">
        <v>19</v>
      </c>
      <c r="B10" t="s">
        <v>20</v>
      </c>
      <c r="C10" t="s">
        <v>4</v>
      </c>
      <c r="D10">
        <v>61975.8</v>
      </c>
      <c r="E10">
        <v>59157.1</v>
      </c>
      <c r="F10">
        <v>63499.5</v>
      </c>
      <c r="G10">
        <v>65876.100000000006</v>
      </c>
      <c r="H10">
        <v>63108.7</v>
      </c>
      <c r="I10">
        <v>62740.1</v>
      </c>
      <c r="J10">
        <v>62764.7</v>
      </c>
      <c r="K10">
        <v>63280.2</v>
      </c>
    </row>
    <row r="11" spans="1:11" ht="16" thickBot="1">
      <c r="A11" s="23" t="s">
        <v>21</v>
      </c>
      <c r="B11" t="s">
        <v>22</v>
      </c>
      <c r="C11" t="s">
        <v>4</v>
      </c>
      <c r="D11">
        <v>769309.1</v>
      </c>
      <c r="E11">
        <v>784090.1</v>
      </c>
      <c r="F11">
        <v>805278</v>
      </c>
      <c r="G11">
        <v>839124.3</v>
      </c>
      <c r="H11">
        <v>866731</v>
      </c>
      <c r="I11">
        <v>896117</v>
      </c>
      <c r="J11">
        <v>924873.3</v>
      </c>
      <c r="K11">
        <v>950759.1</v>
      </c>
    </row>
    <row r="12" spans="1:11" ht="16" thickBot="1">
      <c r="A12" s="23" t="s">
        <v>23</v>
      </c>
      <c r="B12" t="s">
        <v>24</v>
      </c>
      <c r="C12" t="s">
        <v>4</v>
      </c>
      <c r="D12">
        <v>444132.2</v>
      </c>
      <c r="E12">
        <v>450771.8</v>
      </c>
      <c r="F12">
        <v>465646</v>
      </c>
      <c r="G12">
        <v>481575.7</v>
      </c>
      <c r="H12">
        <v>498266.8</v>
      </c>
      <c r="I12">
        <v>516593.9</v>
      </c>
      <c r="J12">
        <v>528998.9</v>
      </c>
      <c r="K12">
        <v>539536.30000000005</v>
      </c>
    </row>
    <row r="13" spans="1:11" ht="16" thickBot="1">
      <c r="A13" s="23" t="s">
        <v>25</v>
      </c>
      <c r="B13" t="s">
        <v>26</v>
      </c>
      <c r="C13" t="s">
        <v>4</v>
      </c>
      <c r="D13">
        <v>73582.7</v>
      </c>
      <c r="E13">
        <v>74277.5</v>
      </c>
      <c r="F13">
        <v>74529.3</v>
      </c>
      <c r="G13">
        <v>77185.399999999994</v>
      </c>
      <c r="H13">
        <v>78905.100000000006</v>
      </c>
      <c r="I13">
        <v>80715.8</v>
      </c>
      <c r="J13">
        <v>82651.899999999994</v>
      </c>
      <c r="K13">
        <v>83509.399999999994</v>
      </c>
    </row>
    <row r="14" spans="1:11" ht="16" thickBot="1">
      <c r="A14" s="23" t="s">
        <v>27</v>
      </c>
      <c r="B14" t="s">
        <v>28</v>
      </c>
      <c r="C14" t="s">
        <v>4</v>
      </c>
      <c r="D14">
        <v>57764.4</v>
      </c>
      <c r="E14">
        <v>59830.6</v>
      </c>
      <c r="F14">
        <v>61394.5</v>
      </c>
      <c r="G14">
        <v>63097.5</v>
      </c>
      <c r="H14">
        <v>65535.3</v>
      </c>
      <c r="I14">
        <v>67818.2</v>
      </c>
      <c r="J14">
        <v>70500.399999999994</v>
      </c>
      <c r="K14">
        <v>72494.399999999994</v>
      </c>
    </row>
    <row r="15" spans="1:11" ht="16" thickBot="1">
      <c r="A15" s="23" t="s">
        <v>29</v>
      </c>
      <c r="B15" t="s">
        <v>30</v>
      </c>
      <c r="C15" t="s">
        <v>4</v>
      </c>
      <c r="D15">
        <v>720702.3</v>
      </c>
      <c r="E15">
        <v>724616.4</v>
      </c>
      <c r="F15">
        <v>735035.6</v>
      </c>
      <c r="G15">
        <v>744517.8</v>
      </c>
      <c r="H15">
        <v>747168</v>
      </c>
      <c r="I15">
        <v>753638</v>
      </c>
      <c r="J15">
        <v>769800.6</v>
      </c>
      <c r="K15">
        <v>782019</v>
      </c>
    </row>
    <row r="16" spans="1:11" ht="16" thickBot="1">
      <c r="A16" s="23" t="s">
        <v>31</v>
      </c>
      <c r="B16" t="s">
        <v>32</v>
      </c>
      <c r="C16" t="s">
        <v>4</v>
      </c>
      <c r="D16">
        <v>297552.7</v>
      </c>
      <c r="E16">
        <v>303919.5</v>
      </c>
      <c r="F16">
        <v>313740.5</v>
      </c>
      <c r="G16">
        <v>311600.7</v>
      </c>
      <c r="H16">
        <v>316635.90000000002</v>
      </c>
      <c r="I16">
        <v>322745.59999999998</v>
      </c>
      <c r="J16">
        <v>329298.8</v>
      </c>
      <c r="K16">
        <v>332040.59999999998</v>
      </c>
    </row>
    <row r="17" spans="1:11" ht="16" thickBot="1">
      <c r="A17" s="23" t="s">
        <v>33</v>
      </c>
      <c r="B17" t="s">
        <v>34</v>
      </c>
      <c r="C17" t="s">
        <v>4</v>
      </c>
      <c r="D17">
        <v>157250.79999999999</v>
      </c>
      <c r="E17">
        <v>156636.6</v>
      </c>
      <c r="F17">
        <v>165088.1</v>
      </c>
      <c r="G17">
        <v>169375</v>
      </c>
      <c r="H17">
        <v>168876.4</v>
      </c>
      <c r="I17">
        <v>168434.5</v>
      </c>
      <c r="J17">
        <v>172072</v>
      </c>
      <c r="K17">
        <v>173688.4</v>
      </c>
    </row>
    <row r="18" spans="1:11" ht="16" thickBot="1">
      <c r="A18" s="23" t="s">
        <v>35</v>
      </c>
      <c r="B18" t="s">
        <v>36</v>
      </c>
      <c r="C18" t="s">
        <v>4</v>
      </c>
      <c r="D18">
        <v>140477.79999999999</v>
      </c>
      <c r="E18">
        <v>140505.60000000001</v>
      </c>
      <c r="F18">
        <v>143425.4</v>
      </c>
      <c r="G18">
        <v>146173.1</v>
      </c>
      <c r="H18">
        <v>149927.9</v>
      </c>
      <c r="I18">
        <v>151465.70000000001</v>
      </c>
      <c r="J18">
        <v>154582.70000000001</v>
      </c>
      <c r="K18">
        <v>155944.29999999999</v>
      </c>
    </row>
    <row r="19" spans="1:11" ht="16" thickBot="1">
      <c r="A19" s="23" t="s">
        <v>37</v>
      </c>
      <c r="B19" t="s">
        <v>38</v>
      </c>
      <c r="C19" t="s">
        <v>4</v>
      </c>
      <c r="D19">
        <v>176302.3</v>
      </c>
      <c r="E19">
        <v>179390</v>
      </c>
      <c r="F19">
        <v>179989.2</v>
      </c>
      <c r="G19">
        <v>181323.1</v>
      </c>
      <c r="H19">
        <v>182618.6</v>
      </c>
      <c r="I19">
        <v>184540.9</v>
      </c>
      <c r="J19">
        <v>187215.5</v>
      </c>
      <c r="K19">
        <v>189365.6</v>
      </c>
    </row>
    <row r="20" spans="1:11" ht="16" thickBot="1">
      <c r="A20" s="23" t="s">
        <v>39</v>
      </c>
      <c r="B20" t="s">
        <v>40</v>
      </c>
      <c r="C20" t="s">
        <v>4</v>
      </c>
      <c r="D20">
        <v>233623.1</v>
      </c>
      <c r="E20">
        <v>226615.9</v>
      </c>
      <c r="F20">
        <v>233675.8</v>
      </c>
      <c r="G20">
        <v>232457.60000000001</v>
      </c>
      <c r="H20">
        <v>228252.5</v>
      </c>
      <c r="I20">
        <v>231373.1</v>
      </c>
      <c r="J20">
        <v>237372.2</v>
      </c>
      <c r="K20">
        <v>240475.3</v>
      </c>
    </row>
    <row r="21" spans="1:11" ht="16" thickBot="1">
      <c r="A21" s="23" t="s">
        <v>41</v>
      </c>
      <c r="B21" t="s">
        <v>42</v>
      </c>
      <c r="C21" t="s">
        <v>4</v>
      </c>
      <c r="D21">
        <v>52874</v>
      </c>
      <c r="E21">
        <v>52505</v>
      </c>
      <c r="F21">
        <v>53418</v>
      </c>
      <c r="G21">
        <v>53780.5</v>
      </c>
      <c r="H21">
        <v>54971</v>
      </c>
      <c r="I21">
        <v>56189.3</v>
      </c>
      <c r="J21">
        <v>57450.400000000001</v>
      </c>
      <c r="K21">
        <v>58528.4</v>
      </c>
    </row>
    <row r="22" spans="1:11" ht="16" thickBot="1">
      <c r="A22" s="23" t="s">
        <v>43</v>
      </c>
      <c r="B22" t="s">
        <v>44</v>
      </c>
      <c r="C22" t="s">
        <v>4</v>
      </c>
      <c r="D22">
        <v>334821.59999999998</v>
      </c>
      <c r="E22">
        <v>334939</v>
      </c>
      <c r="F22">
        <v>338734</v>
      </c>
      <c r="G22">
        <v>345230.2</v>
      </c>
      <c r="H22">
        <v>356817.6</v>
      </c>
      <c r="I22">
        <v>360030.1</v>
      </c>
      <c r="J22">
        <v>368860.2</v>
      </c>
      <c r="K22">
        <v>374385.6</v>
      </c>
    </row>
    <row r="23" spans="1:11" ht="16" thickBot="1">
      <c r="A23" s="23" t="s">
        <v>45</v>
      </c>
      <c r="B23" t="s">
        <v>46</v>
      </c>
      <c r="C23" t="s">
        <v>4</v>
      </c>
      <c r="D23">
        <v>444329.8</v>
      </c>
      <c r="E23">
        <v>444865.8</v>
      </c>
      <c r="F23">
        <v>453884.2</v>
      </c>
      <c r="G23">
        <v>471135.3</v>
      </c>
      <c r="H23">
        <v>478961</v>
      </c>
      <c r="I23">
        <v>490839.8</v>
      </c>
      <c r="J23">
        <v>506072.8</v>
      </c>
      <c r="K23">
        <v>518718.6</v>
      </c>
    </row>
    <row r="24" spans="1:11" ht="16" thickBot="1">
      <c r="A24" s="23" t="s">
        <v>47</v>
      </c>
      <c r="B24" t="s">
        <v>48</v>
      </c>
      <c r="C24" t="s">
        <v>4</v>
      </c>
      <c r="D24">
        <v>418857.4</v>
      </c>
      <c r="E24">
        <v>424319.9</v>
      </c>
      <c r="F24">
        <v>431510.9</v>
      </c>
      <c r="G24">
        <v>442481.8</v>
      </c>
      <c r="H24">
        <v>452268.79999999999</v>
      </c>
      <c r="I24">
        <v>459129.1</v>
      </c>
      <c r="J24">
        <v>470529.2</v>
      </c>
      <c r="K24">
        <v>473859.6</v>
      </c>
    </row>
    <row r="25" spans="1:11" ht="16" thickBot="1">
      <c r="A25" s="23" t="s">
        <v>49</v>
      </c>
      <c r="B25" t="s">
        <v>50</v>
      </c>
      <c r="C25" t="s">
        <v>4</v>
      </c>
      <c r="D25">
        <v>294296.59999999998</v>
      </c>
      <c r="E25">
        <v>300633.09999999998</v>
      </c>
      <c r="F25">
        <v>309239.2</v>
      </c>
      <c r="G25">
        <v>313086.2</v>
      </c>
      <c r="H25">
        <v>319129.90000000002</v>
      </c>
      <c r="I25">
        <v>325322.7</v>
      </c>
      <c r="J25">
        <v>333919.5</v>
      </c>
      <c r="K25">
        <v>338752.3</v>
      </c>
    </row>
    <row r="26" spans="1:11" ht="16" thickBot="1">
      <c r="A26" s="23" t="s">
        <v>51</v>
      </c>
      <c r="B26" t="s">
        <v>52</v>
      </c>
      <c r="C26" t="s">
        <v>4</v>
      </c>
      <c r="D26">
        <v>99614.6</v>
      </c>
      <c r="E26">
        <v>99622.399999999994</v>
      </c>
      <c r="F26">
        <v>100118.3</v>
      </c>
      <c r="G26">
        <v>100242.5</v>
      </c>
      <c r="H26">
        <v>100656.5</v>
      </c>
      <c r="I26">
        <v>101515.7</v>
      </c>
      <c r="J26">
        <v>102837.4</v>
      </c>
      <c r="K26">
        <v>104209.2</v>
      </c>
    </row>
    <row r="27" spans="1:11" ht="16" thickBot="1">
      <c r="A27" s="23" t="s">
        <v>53</v>
      </c>
      <c r="B27" t="s">
        <v>54</v>
      </c>
      <c r="C27" t="s">
        <v>4</v>
      </c>
      <c r="D27">
        <v>268761.5</v>
      </c>
      <c r="E27">
        <v>271902.09999999998</v>
      </c>
      <c r="F27">
        <v>273170.5</v>
      </c>
      <c r="G27">
        <v>276700.40000000002</v>
      </c>
      <c r="H27">
        <v>275500.5</v>
      </c>
      <c r="I27">
        <v>278191.90000000002</v>
      </c>
      <c r="J27">
        <v>284924.09999999998</v>
      </c>
      <c r="K27">
        <v>290956.2</v>
      </c>
    </row>
    <row r="28" spans="1:11" ht="16" thickBot="1">
      <c r="A28" s="23" t="s">
        <v>55</v>
      </c>
      <c r="B28" t="s">
        <v>56</v>
      </c>
      <c r="C28" t="s">
        <v>4</v>
      </c>
      <c r="D28">
        <v>42005.8</v>
      </c>
      <c r="E28">
        <v>42433.8</v>
      </c>
      <c r="F28">
        <v>43173.7</v>
      </c>
      <c r="G28">
        <v>44871.4</v>
      </c>
      <c r="H28">
        <v>44265.4</v>
      </c>
      <c r="I28">
        <v>45029.2</v>
      </c>
      <c r="J28">
        <v>46219.7</v>
      </c>
      <c r="K28">
        <v>47180.7</v>
      </c>
    </row>
    <row r="29" spans="1:11" ht="16" thickBot="1">
      <c r="A29" s="23" t="s">
        <v>57</v>
      </c>
      <c r="B29" t="s">
        <v>58</v>
      </c>
      <c r="C29" t="s">
        <v>4</v>
      </c>
      <c r="D29">
        <v>102269</v>
      </c>
      <c r="E29">
        <v>105038.2</v>
      </c>
      <c r="F29">
        <v>107166.2</v>
      </c>
      <c r="G29">
        <v>110325.7</v>
      </c>
      <c r="H29">
        <v>110812</v>
      </c>
      <c r="I29">
        <v>113110.39999999999</v>
      </c>
      <c r="J29">
        <v>114170</v>
      </c>
      <c r="K29">
        <v>114877.2</v>
      </c>
    </row>
    <row r="30" spans="1:11" ht="16" thickBot="1">
      <c r="A30" s="23" t="s">
        <v>59</v>
      </c>
      <c r="B30" t="s">
        <v>60</v>
      </c>
      <c r="C30" t="s">
        <v>4</v>
      </c>
      <c r="D30">
        <v>128043</v>
      </c>
      <c r="E30">
        <v>128272.7</v>
      </c>
      <c r="F30">
        <v>129999.9</v>
      </c>
      <c r="G30">
        <v>135429.20000000001</v>
      </c>
      <c r="H30">
        <v>139295.5</v>
      </c>
      <c r="I30">
        <v>143733.4</v>
      </c>
      <c r="J30">
        <v>149779.9</v>
      </c>
      <c r="K30">
        <v>154139.4</v>
      </c>
    </row>
    <row r="31" spans="1:11" ht="16" thickBot="1">
      <c r="A31" s="23" t="s">
        <v>61</v>
      </c>
      <c r="B31" t="s">
        <v>62</v>
      </c>
      <c r="C31" t="s">
        <v>4</v>
      </c>
      <c r="D31">
        <v>67689.2</v>
      </c>
      <c r="E31">
        <v>68800.2</v>
      </c>
      <c r="F31">
        <v>69544.7</v>
      </c>
      <c r="G31">
        <v>71511.100000000006</v>
      </c>
      <c r="H31">
        <v>72815.600000000006</v>
      </c>
      <c r="I31">
        <v>74118.8</v>
      </c>
      <c r="J31">
        <v>75833.2</v>
      </c>
      <c r="K31">
        <v>77872.800000000003</v>
      </c>
    </row>
    <row r="32" spans="1:11" ht="16" thickBot="1">
      <c r="A32" s="23" t="s">
        <v>63</v>
      </c>
      <c r="B32" t="s">
        <v>64</v>
      </c>
      <c r="C32" t="s">
        <v>4</v>
      </c>
      <c r="D32">
        <v>519745.8</v>
      </c>
      <c r="E32">
        <v>523334.2</v>
      </c>
      <c r="F32">
        <v>525728.5</v>
      </c>
      <c r="G32">
        <v>535299.19999999995</v>
      </c>
      <c r="H32">
        <v>539942.80000000005</v>
      </c>
      <c r="I32">
        <v>543530.1</v>
      </c>
      <c r="J32">
        <v>555755.1</v>
      </c>
      <c r="K32">
        <v>563949.5</v>
      </c>
    </row>
    <row r="33" spans="1:11" ht="16" thickBot="1">
      <c r="A33" s="23" t="s">
        <v>65</v>
      </c>
      <c r="B33" t="s">
        <v>66</v>
      </c>
      <c r="C33" t="s">
        <v>4</v>
      </c>
      <c r="D33">
        <v>87601.600000000006</v>
      </c>
      <c r="E33">
        <v>86506</v>
      </c>
      <c r="F33">
        <v>89275.199999999997</v>
      </c>
      <c r="G33">
        <v>91200.8</v>
      </c>
      <c r="H33">
        <v>91268.3</v>
      </c>
      <c r="I33">
        <v>91343.6</v>
      </c>
      <c r="J33">
        <v>93604.6</v>
      </c>
      <c r="K33">
        <v>97092</v>
      </c>
    </row>
    <row r="34" spans="1:11" s="16" customFormat="1" ht="16" thickBot="1">
      <c r="A34" s="23" t="s">
        <v>67</v>
      </c>
      <c r="B34" s="16" t="s">
        <v>68</v>
      </c>
      <c r="C34" s="16" t="s">
        <v>4</v>
      </c>
      <c r="D34" s="16">
        <v>1322447.8999999999</v>
      </c>
      <c r="E34" s="16">
        <v>1319298.5</v>
      </c>
      <c r="F34" s="16">
        <v>1349268.1</v>
      </c>
      <c r="G34" s="16">
        <v>1372162.8</v>
      </c>
      <c r="H34" s="16">
        <v>1389680.6</v>
      </c>
      <c r="I34" s="16">
        <v>1418942</v>
      </c>
      <c r="J34" s="16">
        <v>1435636.2</v>
      </c>
      <c r="K34" s="16">
        <v>1461558.7</v>
      </c>
    </row>
    <row r="35" spans="1:11" ht="16" thickBot="1">
      <c r="A35" s="23" t="s">
        <v>69</v>
      </c>
      <c r="B35" t="s">
        <v>70</v>
      </c>
      <c r="C35" t="s">
        <v>4</v>
      </c>
      <c r="D35">
        <v>439571</v>
      </c>
      <c r="E35">
        <v>445361.4</v>
      </c>
      <c r="F35">
        <v>455046.2</v>
      </c>
      <c r="G35">
        <v>469478.8</v>
      </c>
      <c r="H35">
        <v>475339</v>
      </c>
      <c r="I35">
        <v>485498.6</v>
      </c>
      <c r="J35">
        <v>497331.3</v>
      </c>
      <c r="K35">
        <v>508625.1</v>
      </c>
    </row>
    <row r="36" spans="1:11" ht="16" thickBot="1">
      <c r="A36" s="23" t="s">
        <v>71</v>
      </c>
      <c r="B36" t="s">
        <v>72</v>
      </c>
      <c r="C36" t="s">
        <v>4</v>
      </c>
      <c r="D36">
        <v>51345.1</v>
      </c>
      <c r="E36">
        <v>52530.8</v>
      </c>
      <c r="F36">
        <v>56522.9</v>
      </c>
      <c r="G36">
        <v>54901.599999999999</v>
      </c>
      <c r="H36">
        <v>51036.3</v>
      </c>
      <c r="I36">
        <v>51014.7</v>
      </c>
      <c r="J36">
        <v>52873</v>
      </c>
      <c r="K36">
        <v>54099.6</v>
      </c>
    </row>
    <row r="37" spans="1:11" ht="16" thickBot="1">
      <c r="A37" s="23" t="s">
        <v>73</v>
      </c>
      <c r="B37" t="s">
        <v>74</v>
      </c>
      <c r="C37" t="s">
        <v>4</v>
      </c>
      <c r="D37">
        <v>540819.30000000005</v>
      </c>
      <c r="E37">
        <v>550800</v>
      </c>
      <c r="F37">
        <v>571911.6</v>
      </c>
      <c r="G37">
        <v>580414.1</v>
      </c>
      <c r="H37">
        <v>585088.9</v>
      </c>
      <c r="I37">
        <v>594315.19999999995</v>
      </c>
      <c r="J37">
        <v>605394.6</v>
      </c>
      <c r="K37">
        <v>615600.19999999995</v>
      </c>
    </row>
    <row r="38" spans="1:11" ht="16" thickBot="1">
      <c r="A38" s="23" t="s">
        <v>75</v>
      </c>
      <c r="B38" t="s">
        <v>76</v>
      </c>
      <c r="C38" t="s">
        <v>4</v>
      </c>
      <c r="D38">
        <v>173483.7</v>
      </c>
      <c r="E38">
        <v>177601.6</v>
      </c>
      <c r="F38">
        <v>187739.1</v>
      </c>
      <c r="G38">
        <v>195902.1</v>
      </c>
      <c r="H38">
        <v>190109.7</v>
      </c>
      <c r="I38">
        <v>191544.2</v>
      </c>
      <c r="J38">
        <v>196524.6</v>
      </c>
      <c r="K38">
        <v>201314</v>
      </c>
    </row>
    <row r="39" spans="1:11" ht="16" thickBot="1">
      <c r="A39" s="23" t="s">
        <v>77</v>
      </c>
      <c r="B39" t="s">
        <v>78</v>
      </c>
      <c r="C39" t="s">
        <v>4</v>
      </c>
      <c r="D39">
        <v>174493.1</v>
      </c>
      <c r="E39">
        <v>175805.1</v>
      </c>
      <c r="F39">
        <v>181861</v>
      </c>
      <c r="G39">
        <v>191999</v>
      </c>
      <c r="H39">
        <v>200948.2</v>
      </c>
      <c r="I39">
        <v>208625.8</v>
      </c>
      <c r="J39">
        <v>216561.5</v>
      </c>
      <c r="K39">
        <v>222384.3</v>
      </c>
    </row>
    <row r="40" spans="1:11" ht="16" thickBot="1">
      <c r="A40" s="23" t="s">
        <v>79</v>
      </c>
      <c r="B40" t="s">
        <v>80</v>
      </c>
      <c r="C40" t="s">
        <v>4</v>
      </c>
      <c r="D40">
        <v>641317.30000000005</v>
      </c>
      <c r="E40">
        <v>651318.9</v>
      </c>
      <c r="F40">
        <v>666494.4</v>
      </c>
      <c r="G40">
        <v>681234.6</v>
      </c>
      <c r="H40">
        <v>689844.4</v>
      </c>
      <c r="I40">
        <v>693675.6</v>
      </c>
      <c r="J40">
        <v>711822.2</v>
      </c>
      <c r="K40">
        <v>728018</v>
      </c>
    </row>
    <row r="41" spans="1:11" ht="16" thickBot="1">
      <c r="A41" s="23" t="s">
        <v>81</v>
      </c>
      <c r="B41" t="s">
        <v>82</v>
      </c>
      <c r="C41" t="s">
        <v>4</v>
      </c>
      <c r="D41">
        <v>51642</v>
      </c>
      <c r="E41">
        <v>52084.6</v>
      </c>
      <c r="F41">
        <v>52134.2</v>
      </c>
      <c r="G41">
        <v>53096.5</v>
      </c>
      <c r="H41">
        <v>53090.7</v>
      </c>
      <c r="I41">
        <v>52989.3</v>
      </c>
      <c r="J41">
        <v>53624.9</v>
      </c>
      <c r="K41">
        <v>55047.6</v>
      </c>
    </row>
    <row r="42" spans="1:11" ht="16" thickBot="1">
      <c r="A42" s="23" t="s">
        <v>83</v>
      </c>
      <c r="B42" t="s">
        <v>84</v>
      </c>
      <c r="C42" t="s">
        <v>4</v>
      </c>
      <c r="D42">
        <v>175374.8</v>
      </c>
      <c r="E42">
        <v>178940.4</v>
      </c>
      <c r="F42">
        <v>183561.9</v>
      </c>
      <c r="G42">
        <v>189899.8</v>
      </c>
      <c r="H42">
        <v>195459.6</v>
      </c>
      <c r="I42">
        <v>201872.6</v>
      </c>
      <c r="J42">
        <v>207202.6</v>
      </c>
      <c r="K42">
        <v>213451.2</v>
      </c>
    </row>
    <row r="43" spans="1:11" ht="16" thickBot="1">
      <c r="A43" s="23" t="s">
        <v>85</v>
      </c>
      <c r="B43" t="s">
        <v>86</v>
      </c>
      <c r="C43" t="s">
        <v>4</v>
      </c>
      <c r="D43">
        <v>43444.6</v>
      </c>
      <c r="E43">
        <v>43602.2</v>
      </c>
      <c r="F43">
        <v>44153</v>
      </c>
      <c r="G43">
        <v>45442.6</v>
      </c>
      <c r="H43">
        <v>45685.5</v>
      </c>
      <c r="I43">
        <v>45618.9</v>
      </c>
      <c r="J43">
        <v>46490.5</v>
      </c>
      <c r="K43">
        <v>46810.400000000001</v>
      </c>
    </row>
    <row r="44" spans="1:11" ht="16" thickBot="1">
      <c r="A44" s="23" t="s">
        <v>87</v>
      </c>
      <c r="B44" t="s">
        <v>88</v>
      </c>
      <c r="C44" t="s">
        <v>4</v>
      </c>
      <c r="D44">
        <v>283721.8</v>
      </c>
      <c r="E44">
        <v>286801.40000000002</v>
      </c>
      <c r="F44">
        <v>291687.59999999998</v>
      </c>
      <c r="G44">
        <v>301587.20000000001</v>
      </c>
      <c r="H44">
        <v>308031.59999999998</v>
      </c>
      <c r="I44">
        <v>313837.2</v>
      </c>
      <c r="J44">
        <v>323674.90000000002</v>
      </c>
      <c r="K44">
        <v>330802</v>
      </c>
    </row>
    <row r="45" spans="1:11" ht="16" thickBot="1">
      <c r="A45" s="23" t="s">
        <v>89</v>
      </c>
      <c r="B45" t="s">
        <v>90</v>
      </c>
      <c r="C45" t="s">
        <v>4</v>
      </c>
      <c r="D45">
        <v>1411378.7</v>
      </c>
      <c r="E45">
        <v>1472103.5</v>
      </c>
      <c r="F45">
        <v>1523057.2</v>
      </c>
      <c r="G45">
        <v>1596361.9</v>
      </c>
      <c r="H45">
        <v>1600260.2</v>
      </c>
      <c r="I45">
        <v>1646264.3</v>
      </c>
      <c r="J45">
        <v>1712764</v>
      </c>
      <c r="K45">
        <v>1788527.3</v>
      </c>
    </row>
    <row r="46" spans="1:11" ht="16" thickBot="1">
      <c r="A46" s="23" t="s">
        <v>91</v>
      </c>
      <c r="B46" t="s">
        <v>92</v>
      </c>
      <c r="C46" t="s">
        <v>4</v>
      </c>
      <c r="D46">
        <v>128721</v>
      </c>
      <c r="E46">
        <v>131901.79999999999</v>
      </c>
      <c r="F46">
        <v>136081.5</v>
      </c>
      <c r="G46">
        <v>141703.29999999999</v>
      </c>
      <c r="H46">
        <v>147414</v>
      </c>
      <c r="I46">
        <v>153129.1</v>
      </c>
      <c r="J46">
        <v>158799.70000000001</v>
      </c>
      <c r="K46">
        <v>164808.29999999999</v>
      </c>
    </row>
    <row r="47" spans="1:11" ht="16" thickBot="1">
      <c r="A47" s="23" t="s">
        <v>93</v>
      </c>
      <c r="B47" t="s">
        <v>94</v>
      </c>
      <c r="C47" t="s">
        <v>4</v>
      </c>
      <c r="D47">
        <v>28887.4</v>
      </c>
      <c r="E47">
        <v>28498.6</v>
      </c>
      <c r="F47">
        <v>28521.8</v>
      </c>
      <c r="G47">
        <v>28906.5</v>
      </c>
      <c r="H47">
        <v>29362.9</v>
      </c>
      <c r="I47">
        <v>29406.6</v>
      </c>
      <c r="J47">
        <v>29750.3</v>
      </c>
      <c r="K47">
        <v>30484.7</v>
      </c>
    </row>
    <row r="48" spans="1:11" ht="16" thickBot="1">
      <c r="A48" s="23" t="s">
        <v>95</v>
      </c>
      <c r="B48" t="s">
        <v>96</v>
      </c>
      <c r="C48" t="s">
        <v>4</v>
      </c>
      <c r="D48">
        <v>444950</v>
      </c>
      <c r="E48">
        <v>446559.7</v>
      </c>
      <c r="F48">
        <v>445869.2</v>
      </c>
      <c r="G48">
        <v>454952.9</v>
      </c>
      <c r="H48">
        <v>456676.4</v>
      </c>
      <c r="I48">
        <v>464792.9</v>
      </c>
      <c r="J48">
        <v>477005.7</v>
      </c>
      <c r="K48">
        <v>485998.4</v>
      </c>
    </row>
    <row r="49" spans="1:11" ht="16" thickBot="1">
      <c r="A49" s="23" t="s">
        <v>97</v>
      </c>
      <c r="B49" t="s">
        <v>98</v>
      </c>
      <c r="C49" t="s">
        <v>4</v>
      </c>
      <c r="D49">
        <v>400863.3</v>
      </c>
      <c r="E49">
        <v>411140.6</v>
      </c>
      <c r="F49">
        <v>425762.5</v>
      </c>
      <c r="G49">
        <v>444318.5</v>
      </c>
      <c r="H49">
        <v>459754.3</v>
      </c>
      <c r="I49">
        <v>483773.4</v>
      </c>
      <c r="J49">
        <v>511672.4</v>
      </c>
      <c r="K49">
        <v>531224.1</v>
      </c>
    </row>
    <row r="50" spans="1:11" ht="16" thickBot="1">
      <c r="A50" s="23" t="s">
        <v>99</v>
      </c>
      <c r="B50" t="s">
        <v>100</v>
      </c>
      <c r="C50" t="s">
        <v>4</v>
      </c>
      <c r="D50">
        <v>69399</v>
      </c>
      <c r="E50">
        <v>70158.7</v>
      </c>
      <c r="F50">
        <v>69874.100000000006</v>
      </c>
      <c r="G50">
        <v>69761.100000000006</v>
      </c>
      <c r="H50">
        <v>68901.2</v>
      </c>
      <c r="I50">
        <v>69903.899999999994</v>
      </c>
      <c r="J50">
        <v>71481.399999999994</v>
      </c>
      <c r="K50">
        <v>72161.5</v>
      </c>
    </row>
    <row r="51" spans="1:11" ht="16" thickBot="1">
      <c r="A51" s="23" t="s">
        <v>101</v>
      </c>
      <c r="B51" t="s">
        <v>102</v>
      </c>
      <c r="C51" t="s">
        <v>4</v>
      </c>
      <c r="D51">
        <v>274343.90000000002</v>
      </c>
      <c r="E51">
        <v>276189.5</v>
      </c>
      <c r="F51">
        <v>282078.90000000002</v>
      </c>
      <c r="G51">
        <v>287164.3</v>
      </c>
      <c r="H51">
        <v>290750.2</v>
      </c>
      <c r="I51">
        <v>294657.09999999998</v>
      </c>
      <c r="J51">
        <v>301622.7</v>
      </c>
      <c r="K51">
        <v>305874.40000000002</v>
      </c>
    </row>
    <row r="52" spans="1:11" ht="16" thickBot="1">
      <c r="A52" s="23" t="s">
        <v>103</v>
      </c>
      <c r="B52" t="s">
        <v>104</v>
      </c>
      <c r="C52" t="s">
        <v>4</v>
      </c>
      <c r="D52">
        <v>38431.699999999997</v>
      </c>
      <c r="E52">
        <v>38503.9</v>
      </c>
      <c r="F52">
        <v>38717.599999999999</v>
      </c>
      <c r="G52">
        <v>39723</v>
      </c>
      <c r="H52">
        <v>38052.9</v>
      </c>
      <c r="I52">
        <v>37997.1</v>
      </c>
      <c r="J52">
        <v>38040</v>
      </c>
      <c r="K52">
        <v>39306.6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692B-5363-47DC-BCEB-4C7EBB207D9A}">
  <dimension ref="A1:K52"/>
  <sheetViews>
    <sheetView workbookViewId="0">
      <selection activeCell="M16" sqref="M16"/>
    </sheetView>
  </sheetViews>
  <sheetFormatPr baseColWidth="10" defaultColWidth="8.83203125" defaultRowHeight="15"/>
  <cols>
    <col min="1" max="1" width="8.6640625" style="22"/>
    <col min="4" max="11" width="10.5" bestFit="1" customWidth="1"/>
  </cols>
  <sheetData>
    <row r="1" spans="1:11">
      <c r="B1" t="s">
        <v>0</v>
      </c>
      <c r="C1" t="s">
        <v>1</v>
      </c>
      <c r="D1">
        <v>2012</v>
      </c>
      <c r="E1">
        <v>2013</v>
      </c>
      <c r="F1">
        <v>2014</v>
      </c>
      <c r="G1">
        <v>2015</v>
      </c>
      <c r="H1">
        <v>2016</v>
      </c>
      <c r="I1">
        <v>2017</v>
      </c>
      <c r="J1">
        <v>2018</v>
      </c>
      <c r="K1">
        <v>2019</v>
      </c>
    </row>
    <row r="2" spans="1:11">
      <c r="A2" s="24" t="s">
        <v>2</v>
      </c>
      <c r="B2" t="s">
        <v>3</v>
      </c>
      <c r="C2" t="s">
        <v>105</v>
      </c>
      <c r="D2" s="44">
        <v>51611</v>
      </c>
      <c r="E2" s="44">
        <v>52202</v>
      </c>
      <c r="F2" s="44">
        <v>53132</v>
      </c>
      <c r="G2" s="44">
        <v>54279</v>
      </c>
      <c r="H2" s="44">
        <v>54774</v>
      </c>
      <c r="I2" s="44">
        <v>55720</v>
      </c>
      <c r="J2" s="44">
        <v>57052</v>
      </c>
      <c r="K2" s="44">
        <v>58107</v>
      </c>
    </row>
    <row r="3" spans="1:11" ht="16" thickBot="1">
      <c r="A3" s="23" t="s">
        <v>5</v>
      </c>
      <c r="B3" t="s">
        <v>6</v>
      </c>
      <c r="C3" t="s">
        <v>105</v>
      </c>
      <c r="D3" s="44">
        <v>38687</v>
      </c>
      <c r="E3" s="44">
        <v>38957</v>
      </c>
      <c r="F3" s="44">
        <v>38591</v>
      </c>
      <c r="G3" s="44">
        <v>39020</v>
      </c>
      <c r="H3" s="44">
        <v>39211</v>
      </c>
      <c r="I3" s="44">
        <v>39599</v>
      </c>
      <c r="J3" s="44">
        <v>40599</v>
      </c>
      <c r="K3" s="44">
        <v>41389</v>
      </c>
    </row>
    <row r="4" spans="1:11" ht="16" thickBot="1">
      <c r="A4" s="23" t="s">
        <v>7</v>
      </c>
      <c r="B4" t="s">
        <v>8</v>
      </c>
      <c r="C4" t="s">
        <v>105</v>
      </c>
      <c r="D4" s="44">
        <v>78952</v>
      </c>
      <c r="E4" s="44">
        <v>74281</v>
      </c>
      <c r="F4" s="44">
        <v>72354</v>
      </c>
      <c r="G4" s="44">
        <v>72948</v>
      </c>
      <c r="H4" s="44">
        <v>71091</v>
      </c>
      <c r="I4" s="44">
        <v>71282</v>
      </c>
      <c r="J4" s="44">
        <v>72221</v>
      </c>
      <c r="K4" s="44">
        <v>74422</v>
      </c>
    </row>
    <row r="5" spans="1:11" ht="16" thickBot="1">
      <c r="A5" s="23" t="s">
        <v>9</v>
      </c>
      <c r="B5" t="s">
        <v>10</v>
      </c>
      <c r="C5" t="s">
        <v>105</v>
      </c>
      <c r="D5" s="44">
        <v>40929</v>
      </c>
      <c r="E5" s="44">
        <v>40729</v>
      </c>
      <c r="F5" s="44">
        <v>40663</v>
      </c>
      <c r="G5" s="44">
        <v>41031</v>
      </c>
      <c r="H5" s="44">
        <v>41669</v>
      </c>
      <c r="I5" s="44">
        <v>42505</v>
      </c>
      <c r="J5" s="44">
        <v>43546</v>
      </c>
      <c r="K5" s="44">
        <v>44161</v>
      </c>
    </row>
    <row r="6" spans="1:11" ht="16" thickBot="1">
      <c r="A6" s="23" t="s">
        <v>11</v>
      </c>
      <c r="B6" t="s">
        <v>12</v>
      </c>
      <c r="C6" t="s">
        <v>105</v>
      </c>
      <c r="D6" s="44">
        <v>36836</v>
      </c>
      <c r="E6" s="44">
        <v>37771</v>
      </c>
      <c r="F6" s="44">
        <v>38058</v>
      </c>
      <c r="G6" s="44">
        <v>38233</v>
      </c>
      <c r="H6" s="44">
        <v>38309</v>
      </c>
      <c r="I6" s="44">
        <v>38432</v>
      </c>
      <c r="J6" s="44">
        <v>38971</v>
      </c>
      <c r="K6" s="44">
        <v>39580</v>
      </c>
    </row>
    <row r="7" spans="1:11" ht="16" thickBot="1">
      <c r="A7" s="23" t="s">
        <v>13</v>
      </c>
      <c r="B7" t="s">
        <v>14</v>
      </c>
      <c r="C7" t="s">
        <v>105</v>
      </c>
      <c r="D7" s="44">
        <v>56510</v>
      </c>
      <c r="E7" s="44">
        <v>58046</v>
      </c>
      <c r="F7" s="44">
        <v>59915</v>
      </c>
      <c r="G7" s="44">
        <v>62403</v>
      </c>
      <c r="H7" s="44">
        <v>63853</v>
      </c>
      <c r="I7" s="44">
        <v>66331</v>
      </c>
      <c r="J7" s="44">
        <v>68970</v>
      </c>
      <c r="K7" s="44">
        <v>70662</v>
      </c>
    </row>
    <row r="8" spans="1:11" ht="16" thickBot="1">
      <c r="A8" s="23" t="s">
        <v>15</v>
      </c>
      <c r="B8" t="s">
        <v>16</v>
      </c>
      <c r="C8" t="s">
        <v>105</v>
      </c>
      <c r="D8" s="44">
        <v>52674</v>
      </c>
      <c r="E8" s="44">
        <v>53622</v>
      </c>
      <c r="F8" s="44">
        <v>55270</v>
      </c>
      <c r="G8" s="44">
        <v>56724</v>
      </c>
      <c r="H8" s="44">
        <v>57184</v>
      </c>
      <c r="I8" s="44">
        <v>58728</v>
      </c>
      <c r="J8" s="44">
        <v>59930</v>
      </c>
      <c r="K8" s="44">
        <v>61311</v>
      </c>
    </row>
    <row r="9" spans="1:11" ht="16" thickBot="1">
      <c r="A9" s="23" t="s">
        <v>17</v>
      </c>
      <c r="B9" t="s">
        <v>18</v>
      </c>
      <c r="C9" t="s">
        <v>105</v>
      </c>
      <c r="D9" s="44">
        <v>67825</v>
      </c>
      <c r="E9" s="44">
        <v>67063</v>
      </c>
      <c r="F9" s="44">
        <v>66152</v>
      </c>
      <c r="G9" s="44">
        <v>67717</v>
      </c>
      <c r="H9" s="44">
        <v>67855</v>
      </c>
      <c r="I9" s="44">
        <v>68195</v>
      </c>
      <c r="J9" s="44">
        <v>68577</v>
      </c>
      <c r="K9" s="44">
        <v>69789</v>
      </c>
    </row>
    <row r="10" spans="1:11" ht="16" thickBot="1">
      <c r="A10" s="23" t="s">
        <v>19</v>
      </c>
      <c r="B10" t="s">
        <v>20</v>
      </c>
      <c r="C10" t="s">
        <v>105</v>
      </c>
      <c r="D10" s="44">
        <v>67720</v>
      </c>
      <c r="E10" s="44">
        <v>64052</v>
      </c>
      <c r="F10" s="44">
        <v>68097</v>
      </c>
      <c r="G10" s="44">
        <v>69988</v>
      </c>
      <c r="H10" s="44">
        <v>66506</v>
      </c>
      <c r="I10" s="44">
        <v>65571</v>
      </c>
      <c r="J10" s="44">
        <v>65009</v>
      </c>
      <c r="K10" s="44">
        <v>64985</v>
      </c>
    </row>
    <row r="11" spans="1:11" ht="16" thickBot="1">
      <c r="A11" s="23" t="s">
        <v>21</v>
      </c>
      <c r="B11" t="s">
        <v>22</v>
      </c>
      <c r="C11" t="s">
        <v>105</v>
      </c>
      <c r="D11" s="44">
        <v>39865</v>
      </c>
      <c r="E11" s="44">
        <v>40116</v>
      </c>
      <c r="F11" s="44">
        <v>40577</v>
      </c>
      <c r="G11" s="44">
        <v>41522</v>
      </c>
      <c r="H11" s="44">
        <v>42047</v>
      </c>
      <c r="I11" s="44">
        <v>42746</v>
      </c>
      <c r="J11" s="44">
        <v>43535</v>
      </c>
      <c r="K11" s="44">
        <v>44267</v>
      </c>
    </row>
    <row r="12" spans="1:11" ht="16" thickBot="1">
      <c r="A12" s="23" t="s">
        <v>23</v>
      </c>
      <c r="B12" t="s">
        <v>24</v>
      </c>
      <c r="C12" t="s">
        <v>105</v>
      </c>
      <c r="D12" s="44">
        <v>44855</v>
      </c>
      <c r="E12" s="44">
        <v>45202</v>
      </c>
      <c r="F12" s="44">
        <v>46253</v>
      </c>
      <c r="G12" s="44">
        <v>47313</v>
      </c>
      <c r="H12" s="44">
        <v>48367</v>
      </c>
      <c r="I12" s="44">
        <v>49623</v>
      </c>
      <c r="J12" s="44">
        <v>50327</v>
      </c>
      <c r="K12" s="44">
        <v>50816</v>
      </c>
    </row>
    <row r="13" spans="1:11" ht="16" thickBot="1">
      <c r="A13" s="23" t="s">
        <v>25</v>
      </c>
      <c r="B13" t="s">
        <v>26</v>
      </c>
      <c r="C13" t="s">
        <v>105</v>
      </c>
      <c r="D13" s="44">
        <v>52755</v>
      </c>
      <c r="E13" s="44">
        <v>52745</v>
      </c>
      <c r="F13" s="44">
        <v>52688</v>
      </c>
      <c r="G13" s="44">
        <v>54277</v>
      </c>
      <c r="H13" s="44">
        <v>55273</v>
      </c>
      <c r="I13" s="44">
        <v>56667</v>
      </c>
      <c r="J13" s="44">
        <v>58181</v>
      </c>
      <c r="K13" s="44">
        <v>58981</v>
      </c>
    </row>
    <row r="14" spans="1:11" ht="16" thickBot="1">
      <c r="A14" s="23" t="s">
        <v>27</v>
      </c>
      <c r="B14" t="s">
        <v>28</v>
      </c>
      <c r="C14" t="s">
        <v>105</v>
      </c>
      <c r="D14" s="44">
        <v>36209</v>
      </c>
      <c r="E14" s="44">
        <v>37134</v>
      </c>
      <c r="F14" s="44">
        <v>37640</v>
      </c>
      <c r="G14" s="44">
        <v>38216</v>
      </c>
      <c r="H14" s="44">
        <v>38954</v>
      </c>
      <c r="I14" s="44">
        <v>39482</v>
      </c>
      <c r="J14" s="44">
        <v>40274</v>
      </c>
      <c r="K14" s="44">
        <v>40566</v>
      </c>
    </row>
    <row r="15" spans="1:11" ht="16" thickBot="1">
      <c r="A15" s="23" t="s">
        <v>29</v>
      </c>
      <c r="B15" t="s">
        <v>30</v>
      </c>
      <c r="C15" t="s">
        <v>105</v>
      </c>
      <c r="D15" s="44">
        <v>55944</v>
      </c>
      <c r="E15" s="44">
        <v>56193</v>
      </c>
      <c r="F15" s="44">
        <v>57048</v>
      </c>
      <c r="G15" s="44">
        <v>57899</v>
      </c>
      <c r="H15" s="44">
        <v>58279</v>
      </c>
      <c r="I15" s="44">
        <v>58976</v>
      </c>
      <c r="J15" s="44">
        <v>60504</v>
      </c>
      <c r="K15" s="44">
        <v>61713</v>
      </c>
    </row>
    <row r="16" spans="1:11" ht="16" thickBot="1">
      <c r="A16" s="23" t="s">
        <v>31</v>
      </c>
      <c r="B16" t="s">
        <v>32</v>
      </c>
      <c r="C16" t="s">
        <v>105</v>
      </c>
      <c r="D16" s="44">
        <v>45513</v>
      </c>
      <c r="E16" s="44">
        <v>46268</v>
      </c>
      <c r="F16" s="44">
        <v>47582</v>
      </c>
      <c r="G16" s="44">
        <v>47152</v>
      </c>
      <c r="H16" s="44">
        <v>47727</v>
      </c>
      <c r="I16" s="44">
        <v>48474</v>
      </c>
      <c r="J16" s="44">
        <v>49182</v>
      </c>
      <c r="K16" s="44">
        <v>49321</v>
      </c>
    </row>
    <row r="17" spans="1:11" ht="16" thickBot="1">
      <c r="A17" s="23" t="s">
        <v>33</v>
      </c>
      <c r="B17" t="s">
        <v>34</v>
      </c>
      <c r="C17" t="s">
        <v>105</v>
      </c>
      <c r="D17" s="44">
        <v>51119</v>
      </c>
      <c r="E17" s="44">
        <v>50642</v>
      </c>
      <c r="F17" s="44">
        <v>53094</v>
      </c>
      <c r="G17" s="44">
        <v>54270</v>
      </c>
      <c r="H17" s="44">
        <v>53931</v>
      </c>
      <c r="I17" s="44">
        <v>53615</v>
      </c>
      <c r="J17" s="44">
        <v>54650</v>
      </c>
      <c r="K17" s="44">
        <v>55051</v>
      </c>
    </row>
    <row r="18" spans="1:11" ht="16" thickBot="1">
      <c r="A18" s="23" t="s">
        <v>35</v>
      </c>
      <c r="B18" t="s">
        <v>36</v>
      </c>
      <c r="C18" t="s">
        <v>105</v>
      </c>
      <c r="D18" s="44">
        <v>48688</v>
      </c>
      <c r="E18" s="44">
        <v>48564</v>
      </c>
      <c r="F18" s="44">
        <v>49449</v>
      </c>
      <c r="G18" s="44">
        <v>50248</v>
      </c>
      <c r="H18" s="44">
        <v>51507</v>
      </c>
      <c r="I18" s="44">
        <v>52073</v>
      </c>
      <c r="J18" s="44">
        <v>53096</v>
      </c>
      <c r="K18" s="44">
        <v>53528</v>
      </c>
    </row>
    <row r="19" spans="1:11" ht="16" thickBot="1">
      <c r="A19" s="23" t="s">
        <v>37</v>
      </c>
      <c r="B19" t="s">
        <v>38</v>
      </c>
      <c r="C19" t="s">
        <v>105</v>
      </c>
      <c r="D19" s="44">
        <v>40193</v>
      </c>
      <c r="E19" s="44">
        <v>40727</v>
      </c>
      <c r="F19" s="44">
        <v>40774</v>
      </c>
      <c r="G19" s="44">
        <v>40968</v>
      </c>
      <c r="H19" s="44">
        <v>41147</v>
      </c>
      <c r="I19" s="44">
        <v>41449</v>
      </c>
      <c r="J19" s="44">
        <v>41966</v>
      </c>
      <c r="K19" s="44">
        <v>42386</v>
      </c>
    </row>
    <row r="20" spans="1:11" ht="16" thickBot="1">
      <c r="A20" s="23" t="s">
        <v>39</v>
      </c>
      <c r="B20" t="s">
        <v>40</v>
      </c>
      <c r="C20" t="s">
        <v>105</v>
      </c>
      <c r="D20" s="44">
        <v>50777</v>
      </c>
      <c r="E20" s="44">
        <v>49003</v>
      </c>
      <c r="F20" s="44">
        <v>50318</v>
      </c>
      <c r="G20" s="44">
        <v>49834</v>
      </c>
      <c r="H20" s="44">
        <v>48791</v>
      </c>
      <c r="I20" s="44">
        <v>49539</v>
      </c>
      <c r="J20" s="44">
        <v>50942</v>
      </c>
      <c r="K20" s="44">
        <v>51729</v>
      </c>
    </row>
    <row r="21" spans="1:11" ht="16" thickBot="1">
      <c r="A21" s="23" t="s">
        <v>41</v>
      </c>
      <c r="B21" t="s">
        <v>42</v>
      </c>
      <c r="C21" t="s">
        <v>105</v>
      </c>
      <c r="D21" s="44">
        <v>39823</v>
      </c>
      <c r="E21" s="44">
        <v>39537</v>
      </c>
      <c r="F21" s="44">
        <v>40148</v>
      </c>
      <c r="G21" s="44">
        <v>40489</v>
      </c>
      <c r="H21" s="44">
        <v>41291</v>
      </c>
      <c r="I21" s="44">
        <v>42102</v>
      </c>
      <c r="J21" s="44">
        <v>42904</v>
      </c>
      <c r="K21" s="44">
        <v>43541</v>
      </c>
    </row>
    <row r="22" spans="1:11" ht="16" thickBot="1">
      <c r="A22" s="23" t="s">
        <v>43</v>
      </c>
      <c r="B22" t="s">
        <v>44</v>
      </c>
      <c r="C22" t="s">
        <v>105</v>
      </c>
      <c r="D22" s="44">
        <v>56875</v>
      </c>
      <c r="E22" s="44">
        <v>56547</v>
      </c>
      <c r="F22" s="44">
        <v>56860</v>
      </c>
      <c r="G22" s="44">
        <v>57677</v>
      </c>
      <c r="H22" s="44">
        <v>59437</v>
      </c>
      <c r="I22" s="44">
        <v>59767</v>
      </c>
      <c r="J22" s="44">
        <v>61112</v>
      </c>
      <c r="K22" s="44">
        <v>61926</v>
      </c>
    </row>
    <row r="23" spans="1:11" ht="16" thickBot="1">
      <c r="A23" s="23" t="s">
        <v>45</v>
      </c>
      <c r="B23" t="s">
        <v>46</v>
      </c>
      <c r="C23" t="s">
        <v>105</v>
      </c>
      <c r="D23" s="44">
        <v>66686</v>
      </c>
      <c r="E23" s="44">
        <v>66266</v>
      </c>
      <c r="F23" s="44">
        <v>67117</v>
      </c>
      <c r="G23" s="44">
        <v>69343</v>
      </c>
      <c r="H23" s="44">
        <v>70192</v>
      </c>
      <c r="I23" s="44">
        <v>71553</v>
      </c>
      <c r="J23" s="44">
        <v>73529</v>
      </c>
      <c r="K23" s="44">
        <v>75258</v>
      </c>
    </row>
    <row r="24" spans="1:11" ht="16" thickBot="1">
      <c r="A24" s="23" t="s">
        <v>47</v>
      </c>
      <c r="B24" t="s">
        <v>48</v>
      </c>
      <c r="C24" t="s">
        <v>105</v>
      </c>
      <c r="D24" s="44">
        <v>42321</v>
      </c>
      <c r="E24" s="44">
        <v>42804</v>
      </c>
      <c r="F24" s="44">
        <v>43456</v>
      </c>
      <c r="G24" s="44">
        <v>44552</v>
      </c>
      <c r="H24" s="44">
        <v>45452</v>
      </c>
      <c r="I24" s="44">
        <v>46037</v>
      </c>
      <c r="J24" s="44">
        <v>47128</v>
      </c>
      <c r="K24" s="44">
        <v>47448</v>
      </c>
    </row>
    <row r="25" spans="1:11" ht="16" thickBot="1">
      <c r="A25" s="23" t="s">
        <v>49</v>
      </c>
      <c r="B25" t="s">
        <v>50</v>
      </c>
      <c r="C25" t="s">
        <v>105</v>
      </c>
      <c r="D25" s="44">
        <v>54736</v>
      </c>
      <c r="E25" s="44">
        <v>55534</v>
      </c>
      <c r="F25" s="44">
        <v>56730</v>
      </c>
      <c r="G25" s="44">
        <v>57111</v>
      </c>
      <c r="H25" s="44">
        <v>57785</v>
      </c>
      <c r="I25" s="44">
        <v>58446</v>
      </c>
      <c r="J25" s="44">
        <v>59562</v>
      </c>
      <c r="K25" s="44">
        <v>60066</v>
      </c>
    </row>
    <row r="26" spans="1:11" ht="16" thickBot="1">
      <c r="A26" s="23" t="s">
        <v>51</v>
      </c>
      <c r="B26" t="s">
        <v>52</v>
      </c>
      <c r="C26" t="s">
        <v>105</v>
      </c>
      <c r="D26" s="44">
        <v>33385</v>
      </c>
      <c r="E26" s="44">
        <v>33333</v>
      </c>
      <c r="F26" s="44">
        <v>33479</v>
      </c>
      <c r="G26" s="44">
        <v>33543</v>
      </c>
      <c r="H26" s="44">
        <v>33688</v>
      </c>
      <c r="I26" s="44">
        <v>33969</v>
      </c>
      <c r="J26" s="44">
        <v>34497</v>
      </c>
      <c r="K26" s="44">
        <v>35015</v>
      </c>
    </row>
    <row r="27" spans="1:11" ht="16" thickBot="1">
      <c r="A27" s="23" t="s">
        <v>53</v>
      </c>
      <c r="B27" t="s">
        <v>54</v>
      </c>
      <c r="C27" t="s">
        <v>105</v>
      </c>
      <c r="D27" s="44">
        <v>44612</v>
      </c>
      <c r="E27" s="44">
        <v>45012</v>
      </c>
      <c r="F27" s="44">
        <v>45106</v>
      </c>
      <c r="G27" s="44">
        <v>45572</v>
      </c>
      <c r="H27" s="44">
        <v>45259</v>
      </c>
      <c r="I27" s="44">
        <v>45555</v>
      </c>
      <c r="J27" s="44">
        <v>46544</v>
      </c>
      <c r="K27" s="44">
        <v>47407</v>
      </c>
    </row>
    <row r="28" spans="1:11" ht="16" thickBot="1">
      <c r="A28" s="23" t="s">
        <v>55</v>
      </c>
      <c r="B28" t="s">
        <v>56</v>
      </c>
      <c r="C28" t="s">
        <v>105</v>
      </c>
      <c r="D28" s="44">
        <v>41847</v>
      </c>
      <c r="E28" s="44">
        <v>41866</v>
      </c>
      <c r="F28" s="44">
        <v>42250</v>
      </c>
      <c r="G28" s="44">
        <v>43544</v>
      </c>
      <c r="H28" s="44">
        <v>42528</v>
      </c>
      <c r="I28" s="44">
        <v>42784</v>
      </c>
      <c r="J28" s="44">
        <v>43576</v>
      </c>
      <c r="K28" s="44">
        <v>44145</v>
      </c>
    </row>
    <row r="29" spans="1:11" ht="16" thickBot="1">
      <c r="A29" s="23" t="s">
        <v>57</v>
      </c>
      <c r="B29" t="s">
        <v>58</v>
      </c>
      <c r="C29" t="s">
        <v>105</v>
      </c>
      <c r="D29" s="44">
        <v>55182</v>
      </c>
      <c r="E29" s="44">
        <v>56312</v>
      </c>
      <c r="F29" s="44">
        <v>57024</v>
      </c>
      <c r="G29" s="44">
        <v>58334</v>
      </c>
      <c r="H29" s="44">
        <v>58150</v>
      </c>
      <c r="I29" s="44">
        <v>59036</v>
      </c>
      <c r="J29" s="44">
        <v>59290</v>
      </c>
      <c r="K29" s="44">
        <v>59386</v>
      </c>
    </row>
    <row r="30" spans="1:11" ht="16" thickBot="1">
      <c r="A30" s="23" t="s">
        <v>59</v>
      </c>
      <c r="B30" t="s">
        <v>60</v>
      </c>
      <c r="C30" t="s">
        <v>105</v>
      </c>
      <c r="D30" s="44">
        <v>46663</v>
      </c>
      <c r="E30" s="44">
        <v>46208</v>
      </c>
      <c r="F30" s="44">
        <v>46138</v>
      </c>
      <c r="G30" s="44">
        <v>47238</v>
      </c>
      <c r="H30" s="44">
        <v>47744</v>
      </c>
      <c r="I30" s="44">
        <v>48397</v>
      </c>
      <c r="J30" s="44">
        <v>49476</v>
      </c>
      <c r="K30" s="44">
        <v>50043</v>
      </c>
    </row>
    <row r="31" spans="1:11" ht="16" thickBot="1">
      <c r="A31" s="23" t="s">
        <v>61</v>
      </c>
      <c r="B31" t="s">
        <v>62</v>
      </c>
      <c r="C31" t="s">
        <v>105</v>
      </c>
      <c r="D31" s="44">
        <v>51116</v>
      </c>
      <c r="E31" s="44">
        <v>51861</v>
      </c>
      <c r="F31" s="44">
        <v>52158</v>
      </c>
      <c r="G31" s="44">
        <v>53512</v>
      </c>
      <c r="H31" s="44">
        <v>54247</v>
      </c>
      <c r="I31" s="44">
        <v>54952</v>
      </c>
      <c r="J31" s="44">
        <v>56029</v>
      </c>
      <c r="K31" s="44">
        <v>57272</v>
      </c>
    </row>
    <row r="32" spans="1:11" ht="16" thickBot="1">
      <c r="A32" s="23" t="s">
        <v>63</v>
      </c>
      <c r="B32" t="s">
        <v>64</v>
      </c>
      <c r="C32" t="s">
        <v>105</v>
      </c>
      <c r="D32" s="44">
        <v>58762</v>
      </c>
      <c r="E32" s="44">
        <v>59087</v>
      </c>
      <c r="F32" s="44">
        <v>59307</v>
      </c>
      <c r="G32" s="44">
        <v>60363</v>
      </c>
      <c r="H32" s="44">
        <v>60867</v>
      </c>
      <c r="I32" s="44">
        <v>61170</v>
      </c>
      <c r="J32" s="44">
        <v>62543</v>
      </c>
      <c r="K32" s="44">
        <v>63492</v>
      </c>
    </row>
    <row r="33" spans="1:11" ht="16" thickBot="1">
      <c r="A33" s="23" t="s">
        <v>65</v>
      </c>
      <c r="B33" t="s">
        <v>66</v>
      </c>
      <c r="C33" t="s">
        <v>105</v>
      </c>
      <c r="D33" s="44">
        <v>41969</v>
      </c>
      <c r="E33" s="44">
        <v>41345</v>
      </c>
      <c r="F33" s="44">
        <v>42724</v>
      </c>
      <c r="G33" s="44">
        <v>43652</v>
      </c>
      <c r="H33" s="44">
        <v>43635</v>
      </c>
      <c r="I33" s="44">
        <v>43668</v>
      </c>
      <c r="J33" s="44">
        <v>44728</v>
      </c>
      <c r="K33" s="44">
        <v>46304</v>
      </c>
    </row>
    <row r="34" spans="1:11" ht="16" thickBot="1">
      <c r="A34" s="23" t="s">
        <v>67</v>
      </c>
      <c r="B34" t="s">
        <v>68</v>
      </c>
      <c r="C34" t="s">
        <v>105</v>
      </c>
      <c r="D34" s="44">
        <v>67565</v>
      </c>
      <c r="E34" s="44">
        <v>67227</v>
      </c>
      <c r="F34" s="44">
        <v>68661</v>
      </c>
      <c r="G34" s="44">
        <v>69814</v>
      </c>
      <c r="H34" s="44">
        <v>70781</v>
      </c>
      <c r="I34" s="44">
        <v>72434</v>
      </c>
      <c r="J34" s="44">
        <v>73508</v>
      </c>
      <c r="K34" s="44">
        <v>75131</v>
      </c>
    </row>
    <row r="35" spans="1:11" ht="16" thickBot="1">
      <c r="A35" s="23" t="s">
        <v>69</v>
      </c>
      <c r="B35" t="s">
        <v>70</v>
      </c>
      <c r="C35" t="s">
        <v>105</v>
      </c>
      <c r="D35" s="44">
        <v>45087</v>
      </c>
      <c r="E35" s="44">
        <v>45245</v>
      </c>
      <c r="F35" s="44">
        <v>45812</v>
      </c>
      <c r="G35" s="44">
        <v>46800</v>
      </c>
      <c r="H35" s="44">
        <v>46809</v>
      </c>
      <c r="I35" s="44">
        <v>47282</v>
      </c>
      <c r="J35" s="44">
        <v>47905</v>
      </c>
      <c r="K35" s="44">
        <v>48496</v>
      </c>
    </row>
    <row r="36" spans="1:11" ht="16" thickBot="1">
      <c r="A36" s="23" t="s">
        <v>71</v>
      </c>
      <c r="B36" t="s">
        <v>72</v>
      </c>
      <c r="C36" t="s">
        <v>105</v>
      </c>
      <c r="D36" s="44">
        <v>73227</v>
      </c>
      <c r="E36" s="44">
        <v>72754</v>
      </c>
      <c r="F36" s="44">
        <v>76652</v>
      </c>
      <c r="G36" s="44">
        <v>72807</v>
      </c>
      <c r="H36" s="44">
        <v>67648</v>
      </c>
      <c r="I36" s="44">
        <v>67574</v>
      </c>
      <c r="J36" s="44">
        <v>69746</v>
      </c>
      <c r="K36" s="44">
        <v>70991</v>
      </c>
    </row>
    <row r="37" spans="1:11" ht="16" thickBot="1">
      <c r="A37" s="23" t="s">
        <v>73</v>
      </c>
      <c r="B37" t="s">
        <v>74</v>
      </c>
      <c r="C37" t="s">
        <v>105</v>
      </c>
      <c r="D37" s="44">
        <v>46829</v>
      </c>
      <c r="E37" s="44">
        <v>47578</v>
      </c>
      <c r="F37" s="44">
        <v>49291</v>
      </c>
      <c r="G37" s="44">
        <v>49960</v>
      </c>
      <c r="H37" s="44">
        <v>50290</v>
      </c>
      <c r="I37" s="44">
        <v>50972</v>
      </c>
      <c r="J37" s="44">
        <v>51848</v>
      </c>
      <c r="K37" s="44">
        <v>52664</v>
      </c>
    </row>
    <row r="38" spans="1:11" ht="16" thickBot="1">
      <c r="A38" s="23" t="s">
        <v>75</v>
      </c>
      <c r="B38" t="s">
        <v>76</v>
      </c>
      <c r="C38" t="s">
        <v>105</v>
      </c>
      <c r="D38" s="44">
        <v>45429</v>
      </c>
      <c r="E38" s="44">
        <v>46092</v>
      </c>
      <c r="F38" s="44">
        <v>48409</v>
      </c>
      <c r="G38" s="44">
        <v>50109</v>
      </c>
      <c r="H38" s="44">
        <v>48419</v>
      </c>
      <c r="I38" s="44">
        <v>48723</v>
      </c>
      <c r="J38" s="44">
        <v>49876</v>
      </c>
      <c r="K38" s="44">
        <v>50876</v>
      </c>
    </row>
    <row r="39" spans="1:11" ht="16" thickBot="1">
      <c r="A39" s="23" t="s">
        <v>77</v>
      </c>
      <c r="B39" t="s">
        <v>78</v>
      </c>
      <c r="C39" t="s">
        <v>105</v>
      </c>
      <c r="D39" s="44">
        <v>44753</v>
      </c>
      <c r="E39" s="44">
        <v>44820</v>
      </c>
      <c r="F39" s="44">
        <v>45887</v>
      </c>
      <c r="G39" s="44">
        <v>47811</v>
      </c>
      <c r="H39" s="44">
        <v>49132</v>
      </c>
      <c r="I39" s="44">
        <v>50349</v>
      </c>
      <c r="J39" s="44">
        <v>51786</v>
      </c>
      <c r="K39" s="44">
        <v>52726</v>
      </c>
    </row>
    <row r="40" spans="1:11" ht="16" thickBot="1">
      <c r="A40" s="23" t="s">
        <v>79</v>
      </c>
      <c r="B40" t="s">
        <v>80</v>
      </c>
      <c r="C40" t="s">
        <v>105</v>
      </c>
      <c r="D40" s="44">
        <v>50232</v>
      </c>
      <c r="E40" s="44">
        <v>50979</v>
      </c>
      <c r="F40" s="44">
        <v>52117</v>
      </c>
      <c r="G40" s="44">
        <v>53285</v>
      </c>
      <c r="H40" s="44">
        <v>53969</v>
      </c>
      <c r="I40" s="44">
        <v>54246</v>
      </c>
      <c r="J40" s="44">
        <v>55607</v>
      </c>
      <c r="K40" s="44">
        <v>56868</v>
      </c>
    </row>
    <row r="41" spans="1:11" ht="16" thickBot="1">
      <c r="A41" s="23" t="s">
        <v>81</v>
      </c>
      <c r="B41" t="s">
        <v>82</v>
      </c>
      <c r="C41" t="s">
        <v>105</v>
      </c>
      <c r="D41" s="44">
        <v>48967</v>
      </c>
      <c r="E41" s="44">
        <v>49365</v>
      </c>
      <c r="F41" s="44">
        <v>49372</v>
      </c>
      <c r="G41" s="44">
        <v>50278</v>
      </c>
      <c r="H41" s="44">
        <v>50239</v>
      </c>
      <c r="I41" s="44">
        <v>50195</v>
      </c>
      <c r="J41" s="44">
        <v>50671</v>
      </c>
      <c r="K41" s="44">
        <v>51963</v>
      </c>
    </row>
    <row r="42" spans="1:11" ht="16" thickBot="1">
      <c r="A42" s="23" t="s">
        <v>83</v>
      </c>
      <c r="B42" t="s">
        <v>84</v>
      </c>
      <c r="C42" t="s">
        <v>105</v>
      </c>
      <c r="D42" s="44">
        <v>37177</v>
      </c>
      <c r="E42" s="44">
        <v>37560</v>
      </c>
      <c r="F42" s="44">
        <v>38055</v>
      </c>
      <c r="G42" s="44">
        <v>38819</v>
      </c>
      <c r="H42" s="44">
        <v>39423</v>
      </c>
      <c r="I42" s="44">
        <v>40204</v>
      </c>
      <c r="J42" s="44">
        <v>40755</v>
      </c>
      <c r="K42" s="44">
        <v>41457</v>
      </c>
    </row>
    <row r="43" spans="1:11" ht="16" thickBot="1">
      <c r="A43" s="23" t="s">
        <v>85</v>
      </c>
      <c r="B43" t="s">
        <v>86</v>
      </c>
      <c r="C43" t="s">
        <v>105</v>
      </c>
      <c r="D43" s="44">
        <v>52119</v>
      </c>
      <c r="E43" s="44">
        <v>51765</v>
      </c>
      <c r="F43" s="44">
        <v>51998</v>
      </c>
      <c r="G43" s="44">
        <v>53212</v>
      </c>
      <c r="H43" s="44">
        <v>52938</v>
      </c>
      <c r="I43" s="44">
        <v>52263</v>
      </c>
      <c r="J43" s="44">
        <v>52908</v>
      </c>
      <c r="K43" s="44">
        <v>52913</v>
      </c>
    </row>
    <row r="44" spans="1:11" ht="16" thickBot="1">
      <c r="A44" s="23" t="s">
        <v>87</v>
      </c>
      <c r="B44" t="s">
        <v>88</v>
      </c>
      <c r="C44" t="s">
        <v>105</v>
      </c>
      <c r="D44" s="44">
        <v>43961</v>
      </c>
      <c r="E44" s="44">
        <v>44162</v>
      </c>
      <c r="F44" s="44">
        <v>44592</v>
      </c>
      <c r="G44" s="44">
        <v>45756</v>
      </c>
      <c r="H44" s="44">
        <v>46348</v>
      </c>
      <c r="I44" s="44">
        <v>46780</v>
      </c>
      <c r="J44" s="44">
        <v>47799</v>
      </c>
      <c r="K44" s="44">
        <v>48440</v>
      </c>
    </row>
    <row r="45" spans="1:11" ht="16" thickBot="1">
      <c r="A45" s="23" t="s">
        <v>89</v>
      </c>
      <c r="B45" t="s">
        <v>90</v>
      </c>
      <c r="C45" t="s">
        <v>105</v>
      </c>
      <c r="D45" s="44">
        <v>54108</v>
      </c>
      <c r="E45" s="44">
        <v>55592</v>
      </c>
      <c r="F45" s="44">
        <v>56484</v>
      </c>
      <c r="G45" s="44">
        <v>58113</v>
      </c>
      <c r="H45" s="44">
        <v>57327</v>
      </c>
      <c r="I45" s="44">
        <v>58182</v>
      </c>
      <c r="J45" s="44">
        <v>59827</v>
      </c>
      <c r="K45" s="44">
        <v>61682</v>
      </c>
    </row>
    <row r="46" spans="1:11" ht="16" thickBot="1">
      <c r="A46" s="23" t="s">
        <v>91</v>
      </c>
      <c r="B46" t="s">
        <v>92</v>
      </c>
      <c r="C46" t="s">
        <v>105</v>
      </c>
      <c r="D46" s="44">
        <v>45112</v>
      </c>
      <c r="E46" s="44">
        <v>45520</v>
      </c>
      <c r="F46" s="44">
        <v>46335</v>
      </c>
      <c r="G46" s="44">
        <v>47522</v>
      </c>
      <c r="H46" s="44">
        <v>48462</v>
      </c>
      <c r="I46" s="44">
        <v>49380</v>
      </c>
      <c r="J46" s="44">
        <v>50356</v>
      </c>
      <c r="K46" s="44">
        <v>51407</v>
      </c>
    </row>
    <row r="47" spans="1:11" ht="16" thickBot="1">
      <c r="A47" s="23" t="s">
        <v>93</v>
      </c>
      <c r="B47" t="s">
        <v>94</v>
      </c>
      <c r="C47" t="s">
        <v>105</v>
      </c>
      <c r="D47" s="44">
        <v>46139</v>
      </c>
      <c r="E47" s="44">
        <v>45510</v>
      </c>
      <c r="F47" s="44">
        <v>45619</v>
      </c>
      <c r="G47" s="44">
        <v>46234</v>
      </c>
      <c r="H47" s="44">
        <v>47082</v>
      </c>
      <c r="I47" s="44">
        <v>47100</v>
      </c>
      <c r="J47" s="44">
        <v>47649</v>
      </c>
      <c r="K47" s="44">
        <v>48855</v>
      </c>
    </row>
    <row r="48" spans="1:11" ht="16" thickBot="1">
      <c r="A48" s="23" t="s">
        <v>95</v>
      </c>
      <c r="B48" t="s">
        <v>96</v>
      </c>
      <c r="C48" t="s">
        <v>105</v>
      </c>
      <c r="D48" s="44">
        <v>54361</v>
      </c>
      <c r="E48" s="44">
        <v>54113</v>
      </c>
      <c r="F48" s="44">
        <v>53648</v>
      </c>
      <c r="G48" s="44">
        <v>54408</v>
      </c>
      <c r="H48" s="44">
        <v>54301</v>
      </c>
      <c r="I48" s="44">
        <v>54917</v>
      </c>
      <c r="J48" s="44">
        <v>56110</v>
      </c>
      <c r="K48" s="44">
        <v>56938</v>
      </c>
    </row>
    <row r="49" spans="1:11" ht="16" thickBot="1">
      <c r="A49" s="23" t="s">
        <v>97</v>
      </c>
      <c r="B49" t="s">
        <v>98</v>
      </c>
      <c r="C49" t="s">
        <v>105</v>
      </c>
      <c r="D49" s="44">
        <v>58121</v>
      </c>
      <c r="E49" s="44">
        <v>59038</v>
      </c>
      <c r="F49" s="44">
        <v>60352</v>
      </c>
      <c r="G49" s="44">
        <v>62024</v>
      </c>
      <c r="H49" s="44">
        <v>63025</v>
      </c>
      <c r="I49" s="44">
        <v>65169</v>
      </c>
      <c r="J49" s="44">
        <v>68007</v>
      </c>
      <c r="K49" s="44">
        <v>69761</v>
      </c>
    </row>
    <row r="50" spans="1:11" ht="16" thickBot="1">
      <c r="A50" s="23" t="s">
        <v>99</v>
      </c>
      <c r="B50" t="s">
        <v>100</v>
      </c>
      <c r="C50" t="s">
        <v>105</v>
      </c>
      <c r="D50" s="44">
        <v>37374</v>
      </c>
      <c r="E50" s="44">
        <v>37844</v>
      </c>
      <c r="F50" s="44">
        <v>37780</v>
      </c>
      <c r="G50" s="44">
        <v>37871</v>
      </c>
      <c r="H50" s="44">
        <v>37630</v>
      </c>
      <c r="I50" s="44">
        <v>38472</v>
      </c>
      <c r="J50" s="44">
        <v>39617</v>
      </c>
      <c r="K50" s="44">
        <v>40265</v>
      </c>
    </row>
    <row r="51" spans="1:11" ht="16" thickBot="1">
      <c r="A51" s="23" t="s">
        <v>101</v>
      </c>
      <c r="B51" t="s">
        <v>102</v>
      </c>
      <c r="C51" t="s">
        <v>105</v>
      </c>
      <c r="D51" s="44">
        <v>47963</v>
      </c>
      <c r="E51" s="44">
        <v>48144</v>
      </c>
      <c r="F51" s="44">
        <v>49044</v>
      </c>
      <c r="G51" s="44">
        <v>49847</v>
      </c>
      <c r="H51" s="44">
        <v>50367</v>
      </c>
      <c r="I51" s="44">
        <v>50889</v>
      </c>
      <c r="J51" s="44">
        <v>51938</v>
      </c>
      <c r="K51" s="44">
        <v>52534</v>
      </c>
    </row>
    <row r="52" spans="1:11" ht="16" thickBot="1">
      <c r="A52" s="23" t="s">
        <v>103</v>
      </c>
      <c r="B52" t="s">
        <v>104</v>
      </c>
      <c r="C52" t="s">
        <v>105</v>
      </c>
      <c r="D52" s="44">
        <v>66686</v>
      </c>
      <c r="E52" s="44">
        <v>66144</v>
      </c>
      <c r="F52" s="44">
        <v>66464</v>
      </c>
      <c r="G52" s="44">
        <v>67831</v>
      </c>
      <c r="H52" s="44">
        <v>65135</v>
      </c>
      <c r="I52" s="44">
        <v>65633</v>
      </c>
      <c r="J52" s="44">
        <v>65859</v>
      </c>
      <c r="K52" s="44">
        <v>67915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5A86-DEC0-434D-857B-05BBFC8DFE80}">
  <dimension ref="A1:K52"/>
  <sheetViews>
    <sheetView workbookViewId="0">
      <selection activeCell="L1" sqref="L1:P1048576"/>
    </sheetView>
  </sheetViews>
  <sheetFormatPr baseColWidth="10" defaultColWidth="8.83203125" defaultRowHeight="15"/>
  <cols>
    <col min="1" max="1" width="8.6640625" style="25"/>
  </cols>
  <sheetData>
    <row r="1" spans="1:11">
      <c r="B1" s="13">
        <v>2012</v>
      </c>
      <c r="C1" s="13">
        <v>2013</v>
      </c>
      <c r="D1" s="13">
        <v>2014</v>
      </c>
      <c r="E1" s="13">
        <v>2015</v>
      </c>
      <c r="F1" s="13">
        <v>2016</v>
      </c>
      <c r="G1" s="13">
        <v>2017</v>
      </c>
      <c r="H1" s="13">
        <v>2018</v>
      </c>
      <c r="I1" s="13">
        <v>2019</v>
      </c>
    </row>
    <row r="2" spans="1:11">
      <c r="A2" s="25" t="s">
        <v>2</v>
      </c>
      <c r="B2" s="39">
        <v>6660.9051233</v>
      </c>
      <c r="C2" s="39">
        <v>6845.4030748200003</v>
      </c>
      <c r="D2" s="40">
        <v>6905.85134233599</v>
      </c>
      <c r="E2" s="39">
        <v>6736.216783756</v>
      </c>
      <c r="F2" s="40">
        <v>6580.0359710289904</v>
      </c>
      <c r="G2" s="40">
        <v>6551.0271459980004</v>
      </c>
      <c r="H2" s="40">
        <v>6752.7497221999902</v>
      </c>
      <c r="I2" s="39">
        <v>6590.1289176950004</v>
      </c>
      <c r="K2" s="18"/>
    </row>
    <row r="3" spans="1:11">
      <c r="A3" s="25" t="s">
        <v>5</v>
      </c>
      <c r="B3" s="10">
        <v>150.38806732020399</v>
      </c>
      <c r="C3" s="10">
        <v>148.86341871518701</v>
      </c>
      <c r="D3" s="10">
        <v>151.481686575048</v>
      </c>
      <c r="E3" s="10">
        <v>145.13744308109801</v>
      </c>
      <c r="F3" s="10">
        <v>138.35370051506101</v>
      </c>
      <c r="G3" s="10">
        <v>133.17172008094701</v>
      </c>
      <c r="H3" s="10">
        <v>138.65820111361299</v>
      </c>
      <c r="I3" s="10">
        <v>131.577544609482</v>
      </c>
    </row>
    <row r="4" spans="1:11">
      <c r="A4" s="25" t="s">
        <v>7</v>
      </c>
      <c r="B4" s="10">
        <v>36.906666137869898</v>
      </c>
      <c r="C4" s="10">
        <v>35.437790320000801</v>
      </c>
      <c r="D4" s="10">
        <v>35.8175693560908</v>
      </c>
      <c r="E4" s="10">
        <v>35.444297435646497</v>
      </c>
      <c r="F4" s="10">
        <v>33.927277859498503</v>
      </c>
      <c r="G4" s="10">
        <v>34.350990065501797</v>
      </c>
      <c r="H4" s="10">
        <v>33.552196718126901</v>
      </c>
      <c r="I4" s="10">
        <v>33.712164582018303</v>
      </c>
    </row>
    <row r="5" spans="1:11">
      <c r="A5" s="25" t="s">
        <v>9</v>
      </c>
      <c r="B5" s="10">
        <v>112.58730193581501</v>
      </c>
      <c r="C5" s="10">
        <v>115.908325103601</v>
      </c>
      <c r="D5" s="10">
        <v>115.152330624602</v>
      </c>
      <c r="E5" s="10">
        <v>113.671370661937</v>
      </c>
      <c r="F5" s="10">
        <v>108.80396945051901</v>
      </c>
      <c r="G5" s="10">
        <v>108.190750923468</v>
      </c>
      <c r="H5" s="10">
        <v>112.965843462378</v>
      </c>
      <c r="I5" s="10">
        <v>111.33994677195</v>
      </c>
    </row>
    <row r="6" spans="1:11">
      <c r="A6" s="25" t="s">
        <v>11</v>
      </c>
      <c r="B6" s="10">
        <v>98.315790142212705</v>
      </c>
      <c r="C6" s="10">
        <v>97.694044375939995</v>
      </c>
      <c r="D6" s="10">
        <v>100.318702828339</v>
      </c>
      <c r="E6" s="10">
        <v>89.607091207190606</v>
      </c>
      <c r="F6" s="10">
        <v>92.325437523122005</v>
      </c>
      <c r="G6" s="10">
        <v>92.668480828635893</v>
      </c>
      <c r="H6" s="10">
        <v>100.94841277803</v>
      </c>
      <c r="I6" s="10">
        <v>92.226382574804703</v>
      </c>
    </row>
    <row r="7" spans="1:11">
      <c r="A7" s="25" t="s">
        <v>13</v>
      </c>
      <c r="B7" s="10">
        <v>425.23812307016402</v>
      </c>
      <c r="C7" s="10">
        <v>427.61420057920498</v>
      </c>
      <c r="D7" s="10">
        <v>423.00818667691698</v>
      </c>
      <c r="E7" s="10">
        <v>428.45857014833803</v>
      </c>
      <c r="F7" s="10">
        <v>425.43379377599899</v>
      </c>
      <c r="G7" s="10">
        <v>425.86190310405999</v>
      </c>
      <c r="H7" s="10">
        <v>426.793582139249</v>
      </c>
      <c r="I7" s="10">
        <v>429.15726666624101</v>
      </c>
    </row>
    <row r="8" spans="1:11">
      <c r="A8" s="25" t="s">
        <v>15</v>
      </c>
      <c r="B8" s="10">
        <v>132.80478478590601</v>
      </c>
      <c r="C8" s="10">
        <v>131.21536143628401</v>
      </c>
      <c r="D8" s="10">
        <v>132.37485458726599</v>
      </c>
      <c r="E8" s="10">
        <v>130.21858923322199</v>
      </c>
      <c r="F8" s="10">
        <v>129.01127516817701</v>
      </c>
      <c r="G8" s="10">
        <v>129.94409123448801</v>
      </c>
      <c r="H8" s="10">
        <v>130.50015786413601</v>
      </c>
      <c r="I8" s="10">
        <v>133.240331402782</v>
      </c>
    </row>
    <row r="9" spans="1:11">
      <c r="A9" s="25" t="s">
        <v>17</v>
      </c>
      <c r="B9" s="10">
        <v>38.654320106163802</v>
      </c>
      <c r="C9" s="10">
        <v>39.157446059023201</v>
      </c>
      <c r="D9" s="10">
        <v>39.548551371109397</v>
      </c>
      <c r="E9" s="10">
        <v>40.762597440778997</v>
      </c>
      <c r="F9" s="10">
        <v>38.353036703811497</v>
      </c>
      <c r="G9" s="10">
        <v>37.7233170430219</v>
      </c>
      <c r="H9" s="10">
        <v>41.4210785787375</v>
      </c>
      <c r="I9" s="10">
        <v>40.915546447285202</v>
      </c>
    </row>
    <row r="10" spans="1:11">
      <c r="A10" s="25" t="s">
        <v>19</v>
      </c>
      <c r="B10" s="10">
        <v>16.036266915654299</v>
      </c>
      <c r="C10" s="10">
        <v>15.756743155051501</v>
      </c>
      <c r="D10" s="10">
        <v>15.6063239591446</v>
      </c>
      <c r="E10" s="10">
        <v>15.834761610457299</v>
      </c>
      <c r="F10" s="10">
        <v>16.787232035542001</v>
      </c>
      <c r="G10" s="10">
        <v>15.4567857787634</v>
      </c>
      <c r="H10" s="10">
        <v>15.763936927860501</v>
      </c>
      <c r="I10" s="10">
        <v>15.306945660966999</v>
      </c>
    </row>
    <row r="11" spans="1:11">
      <c r="A11" s="25" t="s">
        <v>21</v>
      </c>
      <c r="B11" s="10">
        <v>259.72172591751598</v>
      </c>
      <c r="C11" s="10">
        <v>259.32358419253001</v>
      </c>
      <c r="D11" s="10">
        <v>265.113670731762</v>
      </c>
      <c r="E11" s="10">
        <v>268.574127525113</v>
      </c>
      <c r="F11" s="10">
        <v>273.342162625973</v>
      </c>
      <c r="G11" s="10">
        <v>273.99884032317402</v>
      </c>
      <c r="H11" s="10">
        <v>278.17234796894502</v>
      </c>
      <c r="I11" s="10">
        <v>267.75146479809098</v>
      </c>
    </row>
    <row r="12" spans="1:11">
      <c r="A12" s="25" t="s">
        <v>23</v>
      </c>
      <c r="B12" s="10">
        <v>160.46146794224899</v>
      </c>
      <c r="C12" s="10">
        <v>162.79558696989901</v>
      </c>
      <c r="D12" s="10">
        <v>168.281679134396</v>
      </c>
      <c r="E12" s="10">
        <v>167.27383243621</v>
      </c>
      <c r="F12" s="10">
        <v>165.42144062735301</v>
      </c>
      <c r="G12" s="10">
        <v>162.99960813457</v>
      </c>
      <c r="H12" s="10">
        <v>163.89332573522199</v>
      </c>
      <c r="I12" s="10">
        <v>157.49160956891799</v>
      </c>
    </row>
    <row r="13" spans="1:11">
      <c r="A13" s="25" t="s">
        <v>25</v>
      </c>
      <c r="B13" s="10">
        <v>18.900461468994902</v>
      </c>
      <c r="C13" s="10">
        <v>18.9528213208275</v>
      </c>
      <c r="D13" s="10">
        <v>18.978988447552101</v>
      </c>
      <c r="E13" s="10">
        <v>18.9833332415899</v>
      </c>
      <c r="F13" s="10">
        <v>18.8840452983769</v>
      </c>
      <c r="G13" s="10">
        <v>19.213709096223099</v>
      </c>
      <c r="H13" s="10">
        <v>18.850493722881101</v>
      </c>
      <c r="I13" s="10">
        <v>19.272415427793099</v>
      </c>
    </row>
    <row r="14" spans="1:11">
      <c r="A14" s="25" t="s">
        <v>27</v>
      </c>
      <c r="B14" s="10">
        <v>31.818917991767901</v>
      </c>
      <c r="C14" s="10">
        <v>33.699161916006901</v>
      </c>
      <c r="D14" s="10">
        <v>32.821795942842897</v>
      </c>
      <c r="E14" s="10">
        <v>33.772498686047399</v>
      </c>
      <c r="F14" s="10">
        <v>34.575204947812999</v>
      </c>
      <c r="G14" s="10">
        <v>35.020308493065798</v>
      </c>
      <c r="H14" s="10">
        <v>35.475887460865202</v>
      </c>
      <c r="I14" s="10">
        <v>36.422394170280903</v>
      </c>
    </row>
    <row r="15" spans="1:11">
      <c r="A15" s="25" t="s">
        <v>29</v>
      </c>
      <c r="B15" s="10">
        <v>265.35440672871601</v>
      </c>
      <c r="C15" s="10">
        <v>280.60790901088302</v>
      </c>
      <c r="D15" s="10">
        <v>283.37153713868702</v>
      </c>
      <c r="E15" s="10">
        <v>269.21636050559198</v>
      </c>
      <c r="F15" s="10">
        <v>252.118830946099</v>
      </c>
      <c r="G15" s="10">
        <v>247.96945946196701</v>
      </c>
      <c r="H15" s="10">
        <v>256.78176152640901</v>
      </c>
      <c r="I15" s="10">
        <v>242.73407989023099</v>
      </c>
    </row>
    <row r="16" spans="1:11">
      <c r="A16" s="25" t="s">
        <v>31</v>
      </c>
      <c r="B16" s="10">
        <v>234.646004002734</v>
      </c>
      <c r="C16" s="10">
        <v>238.78037463454399</v>
      </c>
      <c r="D16" s="10">
        <v>245.09136304867801</v>
      </c>
      <c r="E16" s="10">
        <v>226.61109790196099</v>
      </c>
      <c r="F16" s="10">
        <v>217.81790571949699</v>
      </c>
      <c r="G16" s="10">
        <v>210.99704576020801</v>
      </c>
      <c r="H16" s="10">
        <v>224.81735003220601</v>
      </c>
      <c r="I16" s="10">
        <v>210.97088501063101</v>
      </c>
    </row>
    <row r="17" spans="1:9">
      <c r="A17" s="25" t="s">
        <v>33</v>
      </c>
      <c r="B17" s="10">
        <v>126.62329043603199</v>
      </c>
      <c r="C17" s="10">
        <v>128.50224850618801</v>
      </c>
      <c r="D17" s="10">
        <v>132.93987664381299</v>
      </c>
      <c r="E17" s="10">
        <v>124.40839860351799</v>
      </c>
      <c r="F17" s="10">
        <v>119.658780675752</v>
      </c>
      <c r="G17" s="10">
        <v>120.839678511127</v>
      </c>
      <c r="H17" s="10">
        <v>132.19927449251901</v>
      </c>
      <c r="I17" s="10">
        <v>123.168472291898</v>
      </c>
    </row>
    <row r="18" spans="1:9">
      <c r="A18" s="25" t="s">
        <v>35</v>
      </c>
      <c r="B18" s="10">
        <v>116.07017161193301</v>
      </c>
      <c r="C18" s="10">
        <v>125.062611725338</v>
      </c>
      <c r="D18" s="10">
        <v>122.811017546545</v>
      </c>
      <c r="E18" s="10">
        <v>117.595778019243</v>
      </c>
      <c r="F18" s="10">
        <v>115.461553605047</v>
      </c>
      <c r="G18" s="10">
        <v>112.49715638301799</v>
      </c>
      <c r="H18" s="10">
        <v>113.373577739273</v>
      </c>
      <c r="I18" s="10">
        <v>112.646339297637</v>
      </c>
    </row>
    <row r="19" spans="1:9">
      <c r="A19" s="25" t="s">
        <v>37</v>
      </c>
      <c r="B19" s="10">
        <v>174.15624765000001</v>
      </c>
      <c r="C19" s="10">
        <v>174.26629226006</v>
      </c>
      <c r="D19" s="10">
        <v>174.38525380367801</v>
      </c>
      <c r="E19" s="10">
        <v>163.400503179136</v>
      </c>
      <c r="F19" s="10">
        <v>154.70200665938299</v>
      </c>
      <c r="G19" s="10">
        <v>147.155300747919</v>
      </c>
      <c r="H19" s="10">
        <v>152.48911062998801</v>
      </c>
      <c r="I19" s="10">
        <v>142.88758290662901</v>
      </c>
    </row>
    <row r="20" spans="1:9">
      <c r="A20" s="25" t="s">
        <v>39</v>
      </c>
      <c r="B20" s="10">
        <v>226.381071525539</v>
      </c>
      <c r="C20" s="10">
        <v>220.551208898678</v>
      </c>
      <c r="D20" s="10">
        <v>216.756118718735</v>
      </c>
      <c r="E20" s="10">
        <v>214.77609625348001</v>
      </c>
      <c r="F20" s="10">
        <v>214.70450105042599</v>
      </c>
      <c r="G20" s="10">
        <v>215.00862034265401</v>
      </c>
      <c r="H20" s="10">
        <v>223.62363170484599</v>
      </c>
      <c r="I20" s="10">
        <v>224.03762887632601</v>
      </c>
    </row>
    <row r="21" spans="1:9">
      <c r="A21" s="25" t="s">
        <v>41</v>
      </c>
      <c r="B21" s="10">
        <v>18.248264631542501</v>
      </c>
      <c r="C21" s="10">
        <v>19.062478651261699</v>
      </c>
      <c r="D21" s="10">
        <v>19.161096111520099</v>
      </c>
      <c r="E21" s="10">
        <v>19.2014946891472</v>
      </c>
      <c r="F21" s="10">
        <v>18.493098912586898</v>
      </c>
      <c r="G21" s="10">
        <v>17.127173118754701</v>
      </c>
      <c r="H21" s="10">
        <v>17.037994335598398</v>
      </c>
      <c r="I21" s="10">
        <v>16.8331912580786</v>
      </c>
    </row>
    <row r="22" spans="1:9">
      <c r="A22" s="25" t="s">
        <v>43</v>
      </c>
      <c r="B22" s="10">
        <v>72.075455243640505</v>
      </c>
      <c r="C22" s="10">
        <v>71.170237549454896</v>
      </c>
      <c r="D22" s="10">
        <v>74.209706512972403</v>
      </c>
      <c r="E22" s="10">
        <v>72.117071944774196</v>
      </c>
      <c r="F22" s="10">
        <v>70.210280085913794</v>
      </c>
      <c r="G22" s="10">
        <v>64.776708634657894</v>
      </c>
      <c r="H22" s="10">
        <v>71.321706412240005</v>
      </c>
      <c r="I22" s="10">
        <v>66.568104831227501</v>
      </c>
    </row>
    <row r="23" spans="1:9">
      <c r="A23" s="25" t="s">
        <v>45</v>
      </c>
      <c r="B23" s="10">
        <v>69.907738074488407</v>
      </c>
      <c r="C23" s="10">
        <v>73.483225134879305</v>
      </c>
      <c r="D23" s="10">
        <v>72.260618439600805</v>
      </c>
      <c r="E23" s="10">
        <v>73.853651527607099</v>
      </c>
      <c r="F23" s="10">
        <v>70.773756427767495</v>
      </c>
      <c r="G23" s="10">
        <v>70.860397031530596</v>
      </c>
      <c r="H23" s="10">
        <v>70.571645792629695</v>
      </c>
      <c r="I23" s="10">
        <v>70.065565880561707</v>
      </c>
    </row>
    <row r="24" spans="1:9">
      <c r="A24" s="25" t="s">
        <v>47</v>
      </c>
      <c r="B24" s="10">
        <v>191.760361182514</v>
      </c>
      <c r="C24" s="10">
        <v>199.79449836143701</v>
      </c>
      <c r="D24" s="10">
        <v>200.08280758790801</v>
      </c>
      <c r="E24" s="10">
        <v>200.04832193120399</v>
      </c>
      <c r="F24" s="10">
        <v>191.16542617169901</v>
      </c>
      <c r="G24" s="10">
        <v>188.671596255406</v>
      </c>
      <c r="H24" s="10">
        <v>196.228926726895</v>
      </c>
      <c r="I24" s="10">
        <v>190.67963198842</v>
      </c>
    </row>
    <row r="25" spans="1:9">
      <c r="A25" s="25" t="s">
        <v>49</v>
      </c>
      <c r="B25" s="10">
        <v>133.97278019932199</v>
      </c>
      <c r="C25" s="10">
        <v>139.859473461448</v>
      </c>
      <c r="D25" s="10">
        <v>147.95003218513401</v>
      </c>
      <c r="E25" s="10">
        <v>134.20135407284499</v>
      </c>
      <c r="F25" s="10">
        <v>135.602601056081</v>
      </c>
      <c r="G25" s="10">
        <v>135.46168877320201</v>
      </c>
      <c r="H25" s="10">
        <v>143.66378710059101</v>
      </c>
      <c r="I25" s="10">
        <v>137.77258913791101</v>
      </c>
    </row>
    <row r="26" spans="1:9">
      <c r="A26" s="25" t="s">
        <v>51</v>
      </c>
      <c r="B26" s="10">
        <v>76.571226743992497</v>
      </c>
      <c r="C26" s="10">
        <v>74.002170848398706</v>
      </c>
      <c r="D26" s="10">
        <v>76.688988121893999</v>
      </c>
      <c r="E26" s="10">
        <v>78.172565791000395</v>
      </c>
      <c r="F26" s="10">
        <v>78.627779921870399</v>
      </c>
      <c r="G26" s="10">
        <v>75.972948100287198</v>
      </c>
      <c r="H26" s="10">
        <v>79.272083391924397</v>
      </c>
      <c r="I26" s="10">
        <v>78.0977084058934</v>
      </c>
    </row>
    <row r="27" spans="1:9">
      <c r="A27" s="25" t="s">
        <v>53</v>
      </c>
      <c r="B27" s="10">
        <v>165.31291276757301</v>
      </c>
      <c r="C27" s="10">
        <v>172.13010999753499</v>
      </c>
      <c r="D27" s="10">
        <v>172.958268970989</v>
      </c>
      <c r="E27" s="10">
        <v>163.434168931172</v>
      </c>
      <c r="F27" s="10">
        <v>155.209417638177</v>
      </c>
      <c r="G27" s="10">
        <v>163.17878952411399</v>
      </c>
      <c r="H27" s="10">
        <v>165.240451207419</v>
      </c>
      <c r="I27" s="10">
        <v>155.51239164485099</v>
      </c>
    </row>
    <row r="28" spans="1:9">
      <c r="A28" s="25" t="s">
        <v>55</v>
      </c>
      <c r="B28" s="10">
        <v>52.042499165322802</v>
      </c>
      <c r="C28" s="10">
        <v>56.356191035731598</v>
      </c>
      <c r="D28" s="10">
        <v>59.537742630894897</v>
      </c>
      <c r="E28" s="10">
        <v>57.271043607094803</v>
      </c>
      <c r="F28" s="10">
        <v>54.981461409311798</v>
      </c>
      <c r="G28" s="10">
        <v>55.881306721206698</v>
      </c>
      <c r="H28" s="10">
        <v>56.538034681328597</v>
      </c>
      <c r="I28" s="10">
        <v>59.413989757721602</v>
      </c>
    </row>
    <row r="29" spans="1:9">
      <c r="A29" s="25" t="s">
        <v>57</v>
      </c>
      <c r="B29" s="10">
        <v>86.940555041350393</v>
      </c>
      <c r="C29" s="10">
        <v>93.034382366038301</v>
      </c>
      <c r="D29" s="10">
        <v>90.498179741591002</v>
      </c>
      <c r="E29" s="10">
        <v>89.864188876642501</v>
      </c>
      <c r="F29" s="10">
        <v>88.460108282822105</v>
      </c>
      <c r="G29" s="10">
        <v>87.669417705927501</v>
      </c>
      <c r="H29" s="10">
        <v>93.952964252105602</v>
      </c>
      <c r="I29" s="10">
        <v>91.043124762165803</v>
      </c>
    </row>
    <row r="30" spans="1:9">
      <c r="A30" s="25" t="s">
        <v>59</v>
      </c>
      <c r="B30" s="10">
        <v>43.613984489835701</v>
      </c>
      <c r="C30" s="10">
        <v>45.515129535392298</v>
      </c>
      <c r="D30" s="10">
        <v>46.517253123329098</v>
      </c>
      <c r="E30" s="10">
        <v>44.592305024599803</v>
      </c>
      <c r="F30" s="10">
        <v>45.4979391380324</v>
      </c>
      <c r="G30" s="10">
        <v>45.392992244830602</v>
      </c>
      <c r="H30" s="10">
        <v>46.646082324924002</v>
      </c>
      <c r="I30" s="10">
        <v>47.584880280616801</v>
      </c>
    </row>
    <row r="31" spans="1:9">
      <c r="A31" s="25" t="s">
        <v>61</v>
      </c>
      <c r="B31" s="10">
        <v>16.867958084599699</v>
      </c>
      <c r="C31" s="10">
        <v>16.6125718463109</v>
      </c>
      <c r="D31" s="10">
        <v>17.357386504673801</v>
      </c>
      <c r="E31" s="10">
        <v>17.3151186202075</v>
      </c>
      <c r="F31" s="10">
        <v>15.677939582673</v>
      </c>
      <c r="G31" s="10">
        <v>15.2593797005747</v>
      </c>
      <c r="H31" s="10">
        <v>16.166648789006999</v>
      </c>
      <c r="I31" s="10">
        <v>15.9817845511716</v>
      </c>
    </row>
    <row r="32" spans="1:9">
      <c r="A32" s="25" t="s">
        <v>63</v>
      </c>
      <c r="B32" s="10">
        <v>106.890135212112</v>
      </c>
      <c r="C32" s="10">
        <v>108.11650781930599</v>
      </c>
      <c r="D32" s="10">
        <v>114.040554464854</v>
      </c>
      <c r="E32" s="10">
        <v>111.80726281262601</v>
      </c>
      <c r="F32" s="10">
        <v>113.19245510258899</v>
      </c>
      <c r="G32" s="10">
        <v>106.565170439114</v>
      </c>
      <c r="H32" s="10">
        <v>110.843067033906</v>
      </c>
      <c r="I32" s="10">
        <v>108.556516425795</v>
      </c>
    </row>
    <row r="33" spans="1:9">
      <c r="A33" s="25" t="s">
        <v>65</v>
      </c>
      <c r="B33" s="10">
        <v>90.7676496974061</v>
      </c>
      <c r="C33" s="10">
        <v>90.704009309402693</v>
      </c>
      <c r="D33" s="10">
        <v>83.620592693351796</v>
      </c>
      <c r="E33" s="10">
        <v>83.589515000023795</v>
      </c>
      <c r="F33" s="10">
        <v>80.247167744353902</v>
      </c>
      <c r="G33" s="10">
        <v>81.056415749096701</v>
      </c>
      <c r="H33" s="10">
        <v>77.686124007664006</v>
      </c>
      <c r="I33" s="10">
        <v>82.730887525658801</v>
      </c>
    </row>
    <row r="34" spans="1:9">
      <c r="A34" s="25" t="s">
        <v>67</v>
      </c>
      <c r="B34" s="10">
        <v>198.378878953076</v>
      </c>
      <c r="C34" s="10">
        <v>198.40171779704801</v>
      </c>
      <c r="D34" s="10">
        <v>203.50007197956799</v>
      </c>
      <c r="E34" s="10">
        <v>201.997376702775</v>
      </c>
      <c r="F34" s="10">
        <v>196.48997609213899</v>
      </c>
      <c r="G34" s="10">
        <v>193.76989982105999</v>
      </c>
      <c r="H34" s="10">
        <v>201.455902106313</v>
      </c>
      <c r="I34" s="10">
        <v>197.969606637266</v>
      </c>
    </row>
    <row r="35" spans="1:9">
      <c r="A35" s="25" t="s">
        <v>69</v>
      </c>
      <c r="B35" s="10">
        <v>148.763563111911</v>
      </c>
      <c r="C35" s="10">
        <v>150.14993930745601</v>
      </c>
      <c r="D35" s="10">
        <v>152.76113807801499</v>
      </c>
      <c r="E35" s="10">
        <v>149.263149167725</v>
      </c>
      <c r="F35" s="10">
        <v>150.39663677867799</v>
      </c>
      <c r="G35" s="10">
        <v>146.63483343323401</v>
      </c>
      <c r="H35" s="10">
        <v>150.06710309128999</v>
      </c>
      <c r="I35" s="10">
        <v>148.731077961594</v>
      </c>
    </row>
    <row r="36" spans="1:9">
      <c r="A36" s="25" t="s">
        <v>71</v>
      </c>
      <c r="B36" s="10">
        <v>80.106434148345201</v>
      </c>
      <c r="C36" s="10">
        <v>88.574357836630895</v>
      </c>
      <c r="D36" s="10">
        <v>92.753619656393496</v>
      </c>
      <c r="E36" s="10">
        <v>92.226323782335697</v>
      </c>
      <c r="F36" s="10">
        <v>85.004909371098407</v>
      </c>
      <c r="G36" s="10">
        <v>85.870128289319098</v>
      </c>
      <c r="H36" s="10">
        <v>98.7904894492072</v>
      </c>
      <c r="I36" s="10">
        <v>103.216969616208</v>
      </c>
    </row>
    <row r="37" spans="1:9">
      <c r="A37" s="25" t="s">
        <v>73</v>
      </c>
      <c r="B37" s="10">
        <v>251.262908203157</v>
      </c>
      <c r="C37" s="10">
        <v>264.39161115808901</v>
      </c>
      <c r="D37" s="10">
        <v>263.990936092678</v>
      </c>
      <c r="E37" s="10">
        <v>248.222361137181</v>
      </c>
      <c r="F37" s="10">
        <v>239.94304316212401</v>
      </c>
      <c r="G37" s="10">
        <v>241.62562115911399</v>
      </c>
      <c r="H37" s="10">
        <v>249.671211431366</v>
      </c>
      <c r="I37" s="10">
        <v>231.42758462285599</v>
      </c>
    </row>
    <row r="38" spans="1:9">
      <c r="A38" s="25" t="s">
        <v>75</v>
      </c>
      <c r="B38" s="10">
        <v>153.15282799641901</v>
      </c>
      <c r="C38" s="10">
        <v>155.346237678102</v>
      </c>
      <c r="D38" s="10">
        <v>156.349794161284</v>
      </c>
      <c r="E38" s="10">
        <v>152.55744293713701</v>
      </c>
      <c r="F38" s="10">
        <v>147.190935453554</v>
      </c>
      <c r="G38" s="10">
        <v>146.61157502340399</v>
      </c>
      <c r="H38" s="10">
        <v>151.341648924243</v>
      </c>
      <c r="I38" s="10">
        <v>142.69753160559799</v>
      </c>
    </row>
    <row r="39" spans="1:9">
      <c r="A39" s="25" t="s">
        <v>77</v>
      </c>
      <c r="B39" s="10">
        <v>49.1352917928929</v>
      </c>
      <c r="C39" s="10">
        <v>51.544543229636702</v>
      </c>
      <c r="D39" s="10">
        <v>50.244051213225198</v>
      </c>
      <c r="E39" s="10">
        <v>51.028168024089297</v>
      </c>
      <c r="F39" s="10">
        <v>50.723228324028298</v>
      </c>
      <c r="G39" s="10">
        <v>52.1644796101587</v>
      </c>
      <c r="H39" s="10">
        <v>53.135124440473703</v>
      </c>
      <c r="I39" s="10">
        <v>55.293551790467298</v>
      </c>
    </row>
    <row r="40" spans="1:9">
      <c r="A40" s="25" t="s">
        <v>79</v>
      </c>
      <c r="B40" s="10">
        <v>287.360839395352</v>
      </c>
      <c r="C40" s="10">
        <v>299.41943899615001</v>
      </c>
      <c r="D40" s="10">
        <v>297.52023724509797</v>
      </c>
      <c r="E40" s="10">
        <v>283.82034175763198</v>
      </c>
      <c r="F40" s="10">
        <v>270.702367821824</v>
      </c>
      <c r="G40" s="10">
        <v>275.36491195591998</v>
      </c>
      <c r="H40" s="10">
        <v>280.88210481386102</v>
      </c>
      <c r="I40" s="10">
        <v>274.40684473641198</v>
      </c>
    </row>
    <row r="41" spans="1:9">
      <c r="A41" s="25" t="s">
        <v>81</v>
      </c>
      <c r="B41" s="10">
        <v>11.641863436887499</v>
      </c>
      <c r="C41" s="10">
        <v>11.1231874137079</v>
      </c>
      <c r="D41" s="10">
        <v>11.6024934465522</v>
      </c>
      <c r="E41" s="10">
        <v>11.8663362910678</v>
      </c>
      <c r="F41" s="10">
        <v>10.619761033112599</v>
      </c>
      <c r="G41" s="10">
        <v>10.956365070737199</v>
      </c>
      <c r="H41" s="10">
        <v>12.0430364710154</v>
      </c>
      <c r="I41" s="10">
        <v>11.5790532306583</v>
      </c>
    </row>
    <row r="42" spans="1:9">
      <c r="A42" s="25" t="s">
        <v>83</v>
      </c>
      <c r="B42" s="10">
        <v>85.648000289730206</v>
      </c>
      <c r="C42" s="10">
        <v>81.2455084094005</v>
      </c>
      <c r="D42" s="10">
        <v>85.6094758090657</v>
      </c>
      <c r="E42" s="10">
        <v>84.384793994358205</v>
      </c>
      <c r="F42" s="10">
        <v>83.164200439537694</v>
      </c>
      <c r="G42" s="10">
        <v>80.4560232767749</v>
      </c>
      <c r="H42" s="10">
        <v>84.947363018968105</v>
      </c>
      <c r="I42" s="10">
        <v>80.583286762958494</v>
      </c>
    </row>
    <row r="43" spans="1:9">
      <c r="A43" s="25" t="s">
        <v>85</v>
      </c>
      <c r="B43" s="10">
        <v>37.8299222559111</v>
      </c>
      <c r="C43" s="10">
        <v>42.446118857678599</v>
      </c>
      <c r="D43" s="10">
        <v>43.057111256713199</v>
      </c>
      <c r="E43" s="10">
        <v>40.8436866264976</v>
      </c>
      <c r="F43" s="10">
        <v>40.633172499424902</v>
      </c>
      <c r="G43" s="10">
        <v>43.4000707912545</v>
      </c>
      <c r="H43" s="10">
        <v>45.485893905088297</v>
      </c>
      <c r="I43" s="10">
        <v>44.150620246586101</v>
      </c>
    </row>
    <row r="44" spans="1:9">
      <c r="A44" s="25" t="s">
        <v>87</v>
      </c>
      <c r="B44" s="10">
        <v>115.779253745806</v>
      </c>
      <c r="C44" s="10">
        <v>113.72618677463601</v>
      </c>
      <c r="D44" s="10">
        <v>119.858930454956</v>
      </c>
      <c r="E44" s="10">
        <v>114.913565116307</v>
      </c>
      <c r="F44" s="10">
        <v>118.01472491937901</v>
      </c>
      <c r="G44" s="10">
        <v>113.934684787832</v>
      </c>
      <c r="H44" s="10">
        <v>110.301254594169</v>
      </c>
      <c r="I44" s="10">
        <v>109.289157076677</v>
      </c>
    </row>
    <row r="45" spans="1:9">
      <c r="A45" s="25" t="s">
        <v>89</v>
      </c>
      <c r="B45" s="10">
        <v>808.36074560659495</v>
      </c>
      <c r="C45" s="10">
        <v>859.93060931331502</v>
      </c>
      <c r="D45" s="10">
        <v>861.60737454048501</v>
      </c>
      <c r="E45" s="10">
        <v>851.48890869303398</v>
      </c>
      <c r="F45" s="10">
        <v>832.43345387141699</v>
      </c>
      <c r="G45" s="10">
        <v>842.90571805742502</v>
      </c>
      <c r="H45" s="10">
        <v>873.36144884676401</v>
      </c>
      <c r="I45" s="10">
        <v>869.591011879441</v>
      </c>
    </row>
    <row r="46" spans="1:9">
      <c r="A46" s="25" t="s">
        <v>91</v>
      </c>
      <c r="B46" s="10">
        <v>78.860575915872701</v>
      </c>
      <c r="C46" s="10">
        <v>84.056593957626902</v>
      </c>
      <c r="D46" s="10">
        <v>82.647462456933496</v>
      </c>
      <c r="E46" s="10">
        <v>80.455409949200103</v>
      </c>
      <c r="F46" s="10">
        <v>74.242208078418798</v>
      </c>
      <c r="G46" s="10">
        <v>73.999948446960602</v>
      </c>
      <c r="H46" s="10">
        <v>75.325321971432601</v>
      </c>
      <c r="I46" s="10">
        <v>75.994555111219299</v>
      </c>
    </row>
    <row r="47" spans="1:9">
      <c r="A47" s="25" t="s">
        <v>93</v>
      </c>
      <c r="B47" s="10">
        <v>8.2102075024183208</v>
      </c>
      <c r="C47" s="10">
        <v>8.5112738258281109</v>
      </c>
      <c r="D47" s="10">
        <v>8.6223962718121108</v>
      </c>
      <c r="E47" s="10">
        <v>8.9220787241442494</v>
      </c>
      <c r="F47" s="10">
        <v>8.7149336769679806</v>
      </c>
      <c r="G47" s="10">
        <v>8.5300880067694802</v>
      </c>
      <c r="H47" s="10">
        <v>8.6424377120512297</v>
      </c>
      <c r="I47" s="10">
        <v>8.8939131441827506</v>
      </c>
    </row>
    <row r="48" spans="1:9">
      <c r="A48" s="25" t="s">
        <v>95</v>
      </c>
      <c r="B48" s="10">
        <v>119.24378048411501</v>
      </c>
      <c r="C48" s="10">
        <v>127.094492669422</v>
      </c>
      <c r="D48" s="10">
        <v>126.886124593711</v>
      </c>
      <c r="E48" s="10">
        <v>127.835603642279</v>
      </c>
      <c r="F48" s="10">
        <v>130.61916002769399</v>
      </c>
      <c r="G48" s="10">
        <v>125.507265179201</v>
      </c>
      <c r="H48" s="10">
        <v>129.746030629952</v>
      </c>
      <c r="I48" s="10">
        <v>124.968533317728</v>
      </c>
    </row>
    <row r="49" spans="1:9">
      <c r="A49" s="25" t="s">
        <v>97</v>
      </c>
      <c r="B49" s="10">
        <v>79.327066973112295</v>
      </c>
      <c r="C49" s="10">
        <v>86.414859135173003</v>
      </c>
      <c r="D49" s="10">
        <v>86.421746809928905</v>
      </c>
      <c r="E49" s="10">
        <v>86.421751135908906</v>
      </c>
      <c r="F49" s="10">
        <v>86.966996971146699</v>
      </c>
      <c r="G49" s="10">
        <v>88.884871986705804</v>
      </c>
      <c r="H49" s="10">
        <v>89.982115439874406</v>
      </c>
      <c r="I49" s="10">
        <v>95.851688252705102</v>
      </c>
    </row>
    <row r="50" spans="1:9">
      <c r="A50" s="25" t="s">
        <v>99</v>
      </c>
      <c r="B50" s="10">
        <v>124.858192953624</v>
      </c>
      <c r="C50" s="10">
        <v>128.52420154661101</v>
      </c>
      <c r="D50" s="10">
        <v>136.95188787288001</v>
      </c>
      <c r="E50" s="10">
        <v>128.871315013052</v>
      </c>
      <c r="F50" s="10">
        <v>127.368541729797</v>
      </c>
      <c r="G50" s="10">
        <v>127.797295029346</v>
      </c>
      <c r="H50" s="10">
        <v>124.82199349435901</v>
      </c>
      <c r="I50" s="10">
        <v>118.453395724093</v>
      </c>
    </row>
    <row r="51" spans="1:9">
      <c r="A51" s="25" t="s">
        <v>101</v>
      </c>
      <c r="B51" s="10">
        <v>120.778962750193</v>
      </c>
      <c r="C51" s="10">
        <v>131.67938116791899</v>
      </c>
      <c r="D51" s="10">
        <v>132.614410273429</v>
      </c>
      <c r="E51" s="10">
        <v>130.943623383952</v>
      </c>
      <c r="F51" s="10">
        <v>127.087654844805</v>
      </c>
      <c r="G51" s="10">
        <v>129.68152654214501</v>
      </c>
      <c r="H51" s="10">
        <v>133.49814052679301</v>
      </c>
      <c r="I51" s="10">
        <v>125.628520955855</v>
      </c>
    </row>
    <row r="52" spans="1:9">
      <c r="A52" s="25" t="s">
        <v>103</v>
      </c>
      <c r="B52" s="10">
        <v>102.20905640493601</v>
      </c>
      <c r="C52" s="10">
        <v>104.629103394349</v>
      </c>
      <c r="D52" s="10">
        <v>100.157914461424</v>
      </c>
      <c r="E52" s="10">
        <v>97.321246326383104</v>
      </c>
      <c r="F52" s="10">
        <v>91.032637692803902</v>
      </c>
      <c r="G52" s="10">
        <v>92.243461428366501</v>
      </c>
      <c r="H52" s="10">
        <v>93.701424578766407</v>
      </c>
      <c r="I52" s="10">
        <v>87.693749221977498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1FFA-15C3-491C-BB33-65F5C215C59D}">
  <dimension ref="A1:I52"/>
  <sheetViews>
    <sheetView workbookViewId="0">
      <selection activeCell="K1" sqref="K1:O1048576"/>
    </sheetView>
  </sheetViews>
  <sheetFormatPr baseColWidth="10" defaultColWidth="8.83203125" defaultRowHeight="15"/>
  <cols>
    <col min="1" max="1" width="8.6640625" style="22"/>
    <col min="2" max="9" width="9.5" bestFit="1" customWidth="1"/>
  </cols>
  <sheetData>
    <row r="1" spans="1:9">
      <c r="B1" s="13">
        <v>2012</v>
      </c>
      <c r="C1" s="13">
        <v>2013</v>
      </c>
      <c r="D1" s="13">
        <v>2014</v>
      </c>
      <c r="E1" s="13">
        <v>2015</v>
      </c>
      <c r="F1" s="13">
        <v>2016</v>
      </c>
      <c r="G1" s="13">
        <v>2017</v>
      </c>
      <c r="H1" s="13">
        <v>2018</v>
      </c>
      <c r="I1" s="13">
        <v>2019</v>
      </c>
    </row>
    <row r="2" spans="1:9">
      <c r="A2" s="24" t="s">
        <v>2</v>
      </c>
      <c r="B2" s="10">
        <f>'TE Total'!B2/Population!G2*1000000</f>
        <v>21.22449769316918</v>
      </c>
      <c r="C2" s="10">
        <f>'TE Total'!C2/Population!H2*1000000</f>
        <v>21.663098820873699</v>
      </c>
      <c r="D2" s="10">
        <f>'TE Total'!D2/Population!I2*1000000</f>
        <v>21.695976980179687</v>
      </c>
      <c r="E2" s="10">
        <f>'TE Total'!E2/Population!J2*1000000</f>
        <v>21.008977058938481</v>
      </c>
      <c r="F2" s="10">
        <f>'TE Total'!F2/Population!K2*1000000</f>
        <v>20.375330584537668</v>
      </c>
      <c r="G2" s="10">
        <f>'TE Total'!G2/Population!L2*1000000</f>
        <v>20.157903536741678</v>
      </c>
      <c r="H2" s="10">
        <f>'TE Total'!H2/Population!M2*1000000</f>
        <v>20.670364496742685</v>
      </c>
      <c r="I2" s="10">
        <f>'TE Total'!I2/Population!N2*1000000</f>
        <v>20.07719502351032</v>
      </c>
    </row>
    <row r="3" spans="1:9" ht="16" thickBot="1">
      <c r="A3" s="23" t="s">
        <v>5</v>
      </c>
      <c r="B3" s="10">
        <f>'TE Total'!B3/Population!G3*1000000</f>
        <v>31.229429785148561</v>
      </c>
      <c r="C3" s="10">
        <f>'TE Total'!C3/Population!H3*1000000</f>
        <v>30.820066726662972</v>
      </c>
      <c r="D3" s="10">
        <f>'TE Total'!D3/Population!I3*1000000</f>
        <v>31.286240212583799</v>
      </c>
      <c r="E3" s="10">
        <f>'TE Total'!E3/Population!J3*1000000</f>
        <v>29.910771649492094</v>
      </c>
      <c r="F3" s="10">
        <f>'TE Total'!F3/Population!K3*1000000</f>
        <v>28.447206607360098</v>
      </c>
      <c r="G3" s="10">
        <f>'TE Total'!G3/Population!L3*1000000</f>
        <v>27.320156439252674</v>
      </c>
      <c r="H3" s="10">
        <f>'TE Total'!H3/Population!M3*1000000</f>
        <v>28.368913829198956</v>
      </c>
      <c r="I3" s="10">
        <f>'TE Total'!I3/Population!N3*1000000</f>
        <v>26.83511729814029</v>
      </c>
    </row>
    <row r="4" spans="1:9" ht="16" thickBot="1">
      <c r="A4" s="23" t="s">
        <v>7</v>
      </c>
      <c r="B4" s="10">
        <f>'TE Total'!B4/Population!G4*1000000</f>
        <v>50.526414980867635</v>
      </c>
      <c r="C4" s="10">
        <f>'TE Total'!C4/Population!H4*1000000</f>
        <v>48.079404234074467</v>
      </c>
      <c r="D4" s="10">
        <f>'TE Total'!D4/Population!I4*1000000</f>
        <v>48.646470658823844</v>
      </c>
      <c r="E4" s="10">
        <f>'TE Total'!E4/Population!J4*1000000</f>
        <v>48.060194652251937</v>
      </c>
      <c r="F4" s="10">
        <f>'TE Total'!F4/Population!K4*1000000</f>
        <v>45.757641531660006</v>
      </c>
      <c r="G4" s="10">
        <f>'TE Total'!G4/Population!L4*1000000</f>
        <v>46.43908350074598</v>
      </c>
      <c r="H4" s="10">
        <f>'TE Total'!H4/Population!M4*1000000</f>
        <v>45.640615880978835</v>
      </c>
      <c r="I4" s="10">
        <f>'TE Total'!I4/Population!N4*1000000</f>
        <v>46.083514455048288</v>
      </c>
    </row>
    <row r="5" spans="1:9" ht="16" thickBot="1">
      <c r="A5" s="23" t="s">
        <v>9</v>
      </c>
      <c r="B5" s="10">
        <f>'TE Total'!B5/Population!G5*1000000</f>
        <v>17.175847414867754</v>
      </c>
      <c r="C5" s="10">
        <f>'TE Total'!C5/Population!H5*1000000</f>
        <v>17.475116724129034</v>
      </c>
      <c r="D5" s="10">
        <f>'TE Total'!D5/Population!I5*1000000</f>
        <v>17.109251783598122</v>
      </c>
      <c r="E5" s="10">
        <f>'TE Total'!E5/Population!J5*1000000</f>
        <v>16.643742786910682</v>
      </c>
      <c r="F5" s="10">
        <f>'TE Total'!F5/Population!K5*1000000</f>
        <v>15.67538406899093</v>
      </c>
      <c r="G5" s="10">
        <f>'TE Total'!G5/Population!L5*1000000</f>
        <v>15.359260086511542</v>
      </c>
      <c r="H5" s="10">
        <f>'TE Total'!H5/Population!M5*1000000</f>
        <v>15.781707837578919</v>
      </c>
      <c r="I5" s="10">
        <f>'TE Total'!I5/Population!N5*1000000</f>
        <v>15.296644555894945</v>
      </c>
    </row>
    <row r="6" spans="1:9" ht="16" thickBot="1">
      <c r="A6" s="23" t="s">
        <v>11</v>
      </c>
      <c r="B6" s="10">
        <f>'TE Total'!B6/Population!G6*1000000</f>
        <v>33.30295679447778</v>
      </c>
      <c r="C6" s="10">
        <f>'TE Total'!C6/Population!H6*1000000</f>
        <v>33.011436228945058</v>
      </c>
      <c r="D6" s="10">
        <f>'TE Total'!D6/Population!I6*1000000</f>
        <v>33.807027459917329</v>
      </c>
      <c r="E6" s="10">
        <f>'TE Total'!E6/Population!J6*1000000</f>
        <v>30.08920313144402</v>
      </c>
      <c r="F6" s="10">
        <f>'TE Total'!F6/Population!K6*1000000</f>
        <v>30.878919596832425</v>
      </c>
      <c r="G6" s="10">
        <f>'TE Total'!G6/Population!L6*1000000</f>
        <v>30.875651026001972</v>
      </c>
      <c r="H6" s="10">
        <f>'TE Total'!H6/Population!M6*1000000</f>
        <v>33.540653864655106</v>
      </c>
      <c r="I6" s="10">
        <f>'TE Total'!I6/Population!N6*1000000</f>
        <v>30.560759603607362</v>
      </c>
    </row>
    <row r="7" spans="1:9" ht="16" thickBot="1">
      <c r="A7" s="23" t="s">
        <v>13</v>
      </c>
      <c r="B7" s="10">
        <f>'TE Total'!B7/Population!G7*1000000</f>
        <v>11.205574960740893</v>
      </c>
      <c r="C7" s="10">
        <f>'TE Total'!C7/Population!H7*1000000</f>
        <v>11.176304360367835</v>
      </c>
      <c r="D7" s="10">
        <f>'TE Total'!D7/Population!I7*1000000</f>
        <v>10.959621046876864</v>
      </c>
      <c r="E7" s="10">
        <f>'TE Total'!E7/Population!J7*1000000</f>
        <v>11.009252138650284</v>
      </c>
      <c r="F7" s="10">
        <f>'TE Total'!F7/Population!K7*1000000</f>
        <v>10.862014525501047</v>
      </c>
      <c r="G7" s="10">
        <f>'TE Total'!G7/Population!L7*1000000</f>
        <v>10.820075347492562</v>
      </c>
      <c r="H7" s="10">
        <f>'TE Total'!H7/Population!M7*1000000</f>
        <v>10.815418328812541</v>
      </c>
      <c r="I7" s="10">
        <f>'TE Total'!I7/Population!N7*1000000</f>
        <v>10.861379949850987</v>
      </c>
    </row>
    <row r="8" spans="1:9" ht="16" thickBot="1">
      <c r="A8" s="23" t="s">
        <v>15</v>
      </c>
      <c r="B8" s="10">
        <f>'TE Total'!B8/Population!G8*1000000</f>
        <v>25.575546496017541</v>
      </c>
      <c r="C8" s="10">
        <f>'TE Total'!C8/Population!H8*1000000</f>
        <v>24.903110614426364</v>
      </c>
      <c r="D8" s="10">
        <f>'TE Total'!D8/Population!I8*1000000</f>
        <v>24.742496372921931</v>
      </c>
      <c r="E8" s="10">
        <f>'TE Total'!E8/Population!J8*1000000</f>
        <v>23.890588146203104</v>
      </c>
      <c r="F8" s="10">
        <f>'TE Total'!F8/Population!K8*1000000</f>
        <v>23.290533977860942</v>
      </c>
      <c r="G8" s="10">
        <f>'TE Total'!G8/Population!L8*1000000</f>
        <v>23.155159315361598</v>
      </c>
      <c r="H8" s="10">
        <f>'TE Total'!H8/Population!M8*1000000</f>
        <v>22.929814972278859</v>
      </c>
      <c r="I8" s="10">
        <f>'TE Total'!I8/Population!N8*1000000</f>
        <v>23.137079283159014</v>
      </c>
    </row>
    <row r="9" spans="1:9" ht="16" thickBot="1">
      <c r="A9" s="23" t="s">
        <v>17</v>
      </c>
      <c r="B9" s="10">
        <f>'TE Total'!B9/Population!G9*1000000</f>
        <v>10.753599857273754</v>
      </c>
      <c r="C9" s="10">
        <f>'TE Total'!C9/Population!H9*1000000</f>
        <v>10.892678162684582</v>
      </c>
      <c r="D9" s="10">
        <f>'TE Total'!D9/Population!I9*1000000</f>
        <v>11.002444655011178</v>
      </c>
      <c r="E9" s="10">
        <f>'TE Total'!E9/Population!J9*1000000</f>
        <v>11.363593833936788</v>
      </c>
      <c r="F9" s="10">
        <f>'TE Total'!F9/Population!K9*1000000</f>
        <v>10.718704685984004</v>
      </c>
      <c r="G9" s="10">
        <f>'TE Total'!G9/Population!L9*1000000</f>
        <v>10.55700576890807</v>
      </c>
      <c r="H9" s="10">
        <f>'TE Total'!H9/Population!M9*1000000</f>
        <v>11.597605103355853</v>
      </c>
      <c r="I9" s="10">
        <f>'TE Total'!I9/Population!N9*1000000</f>
        <v>11.476087744769272</v>
      </c>
    </row>
    <row r="10" spans="1:9" ht="16" thickBot="1">
      <c r="A10" s="23" t="s">
        <v>19</v>
      </c>
      <c r="B10" s="10">
        <f>'TE Total'!B10/Population!G10*1000000</f>
        <v>17.522546863132021</v>
      </c>
      <c r="C10" s="10">
        <f>'TE Total'!C10/Population!H10*1000000</f>
        <v>17.060580997179986</v>
      </c>
      <c r="D10" s="10">
        <f>'TE Total'!D10/Population!I10*1000000</f>
        <v>16.736237565933465</v>
      </c>
      <c r="E10" s="10">
        <f>'TE Total'!E10/Population!J10*1000000</f>
        <v>16.823084158607152</v>
      </c>
      <c r="F10" s="10">
        <f>'TE Total'!F10/Population!K10*1000000</f>
        <v>17.690863660454351</v>
      </c>
      <c r="G10" s="10">
        <f>'TE Total'!G10/Population!L10*1000000</f>
        <v>16.154279086898413</v>
      </c>
      <c r="H10" s="10">
        <f>'TE Total'!H10/Population!M10*1000000</f>
        <v>16.327581364131692</v>
      </c>
      <c r="I10" s="10">
        <f>'TE Total'!I10/Population!N10*1000000</f>
        <v>15.719358757324155</v>
      </c>
    </row>
    <row r="11" spans="1:9" ht="16" thickBot="1">
      <c r="A11" s="23" t="s">
        <v>21</v>
      </c>
      <c r="B11" s="10">
        <f>'TE Total'!B11/Population!G11*1000000</f>
        <v>13.458603044297744</v>
      </c>
      <c r="C11" s="10">
        <f>'TE Total'!C11/Population!H11*1000000</f>
        <v>13.267605270384093</v>
      </c>
      <c r="D11" s="10">
        <f>'TE Total'!D11/Population!I11*1000000</f>
        <v>13.358604234986341</v>
      </c>
      <c r="E11" s="10">
        <f>'TE Total'!E11/Population!J11*1000000</f>
        <v>13.289800057079054</v>
      </c>
      <c r="F11" s="10">
        <f>'TE Total'!F11/Population!K11*1000000</f>
        <v>13.260361783020546</v>
      </c>
      <c r="G11" s="10">
        <f>'TE Total'!G11/Population!L11*1000000</f>
        <v>13.070210765824291</v>
      </c>
      <c r="H11" s="10">
        <f>'TE Total'!H11/Population!M11*1000000</f>
        <v>13.093965222273091</v>
      </c>
      <c r="I11" s="10">
        <f>'TE Total'!I11/Population!N11*1000000</f>
        <v>12.466465382181138</v>
      </c>
    </row>
    <row r="12" spans="1:9" ht="16" thickBot="1">
      <c r="A12" s="23" t="s">
        <v>23</v>
      </c>
      <c r="B12" s="10">
        <f>'TE Total'!B12/Population!G12*1000000</f>
        <v>16.205888234552887</v>
      </c>
      <c r="C12" s="10">
        <f>'TE Total'!C12/Population!H12*1000000</f>
        <v>16.324485313019863</v>
      </c>
      <c r="D12" s="10">
        <f>'TE Total'!D12/Population!I12*1000000</f>
        <v>16.715707973336588</v>
      </c>
      <c r="E12" s="10">
        <f>'TE Total'!E12/Population!J12*1000000</f>
        <v>16.43412127962252</v>
      </c>
      <c r="F12" s="10">
        <f>'TE Total'!F12/Population!K12*1000000</f>
        <v>16.057387588816521</v>
      </c>
      <c r="G12" s="10">
        <f>'TE Total'!G12/Population!L12*1000000</f>
        <v>15.657487143497852</v>
      </c>
      <c r="H12" s="10">
        <f>'TE Total'!H12/Population!M12*1000000</f>
        <v>15.592358779965924</v>
      </c>
      <c r="I12" s="10">
        <f>'TE Total'!I12/Population!N12*1000000</f>
        <v>14.833317799330214</v>
      </c>
    </row>
    <row r="13" spans="1:9" ht="16" thickBot="1">
      <c r="A13" s="23" t="s">
        <v>25</v>
      </c>
      <c r="B13" s="10">
        <f>'TE Total'!B13/Population!G13*1000000</f>
        <v>13.550621785566218</v>
      </c>
      <c r="C13" s="10">
        <f>'TE Total'!C13/Population!H13*1000000</f>
        <v>13.458487860992385</v>
      </c>
      <c r="D13" s="10">
        <f>'TE Total'!D13/Population!I13*1000000</f>
        <v>13.417093388478854</v>
      </c>
      <c r="E13" s="10">
        <f>'TE Total'!E13/Population!J13*1000000</f>
        <v>13.349253924321966</v>
      </c>
      <c r="F13" s="10">
        <f>'TE Total'!F13/Population!K13*1000000</f>
        <v>13.228206538837904</v>
      </c>
      <c r="G13" s="10">
        <f>'TE Total'!G13/Population!L13*1000000</f>
        <v>13.489050491137698</v>
      </c>
      <c r="H13" s="10">
        <f>'TE Total'!H13/Population!M13*1000000</f>
        <v>13.269454180670396</v>
      </c>
      <c r="I13" s="10">
        <f>'TE Total'!I13/Population!N13*1000000</f>
        <v>13.611693308288531</v>
      </c>
    </row>
    <row r="14" spans="1:9" ht="16" thickBot="1">
      <c r="A14" s="23" t="s">
        <v>27</v>
      </c>
      <c r="B14" s="10">
        <f>'TE Total'!B14/Population!G14*1000000</f>
        <v>19.94511333858696</v>
      </c>
      <c r="C14" s="10">
        <f>'TE Total'!C14/Population!H14*1000000</f>
        <v>20.915489339045969</v>
      </c>
      <c r="D14" s="10">
        <f>'TE Total'!D14/Population!I14*1000000</f>
        <v>20.122343495016217</v>
      </c>
      <c r="E14" s="10">
        <f>'TE Total'!E14/Population!J14*1000000</f>
        <v>20.455052597179993</v>
      </c>
      <c r="F14" s="10">
        <f>'TE Total'!F14/Population!K14*1000000</f>
        <v>20.55136470227475</v>
      </c>
      <c r="G14" s="10">
        <f>'TE Total'!G14/Population!L14*1000000</f>
        <v>20.387729334066361</v>
      </c>
      <c r="H14" s="10">
        <f>'TE Total'!H14/Population!M14*1000000</f>
        <v>20.265728588766642</v>
      </c>
      <c r="I14" s="10">
        <f>'TE Total'!I14/Population!N14*1000000</f>
        <v>20.38112445282119</v>
      </c>
    </row>
    <row r="15" spans="1:9" ht="16" thickBot="1">
      <c r="A15" s="23" t="s">
        <v>29</v>
      </c>
      <c r="B15" s="10">
        <f>'TE Total'!B15/Population!G15*1000000</f>
        <v>20.598036153569144</v>
      </c>
      <c r="C15" s="10">
        <f>'TE Total'!C15/Population!H15*1000000</f>
        <v>21.760767884592937</v>
      </c>
      <c r="D15" s="10">
        <f>'TE Total'!D15/Population!I15*1000000</f>
        <v>21.99322372550375</v>
      </c>
      <c r="E15" s="10">
        <f>'TE Total'!E15/Population!J15*1000000</f>
        <v>20.936167816485888</v>
      </c>
      <c r="F15" s="10">
        <f>'TE Total'!F15/Population!K15*1000000</f>
        <v>19.665247064032471</v>
      </c>
      <c r="G15" s="10">
        <f>'TE Total'!G15/Population!L15*1000000</f>
        <v>19.404710624633733</v>
      </c>
      <c r="H15" s="10">
        <f>'TE Total'!H15/Population!M15*1000000</f>
        <v>20.182372756263721</v>
      </c>
      <c r="I15" s="10">
        <f>'TE Total'!I15/Population!N15*1000000</f>
        <v>19.155422088919263</v>
      </c>
    </row>
    <row r="16" spans="1:9" ht="16" thickBot="1">
      <c r="A16" s="23" t="s">
        <v>31</v>
      </c>
      <c r="B16" s="10">
        <f>'TE Total'!B16/Population!G16*1000000</f>
        <v>35.891199707715998</v>
      </c>
      <c r="C16" s="10">
        <f>'TE Total'!C16/Population!H16*1000000</f>
        <v>36.351165690226381</v>
      </c>
      <c r="D16" s="10">
        <f>'TE Total'!D16/Population!I16*1000000</f>
        <v>37.170851663917254</v>
      </c>
      <c r="E16" s="10">
        <f>'TE Total'!E16/Population!J16*1000000</f>
        <v>34.291257111298435</v>
      </c>
      <c r="F16" s="10">
        <f>'TE Total'!F16/Population!K16*1000000</f>
        <v>32.832065838330138</v>
      </c>
      <c r="G16" s="10">
        <f>'TE Total'!G16/Population!L16*1000000</f>
        <v>31.690383585204021</v>
      </c>
      <c r="H16" s="10">
        <f>'TE Total'!H16/Population!M16*1000000</f>
        <v>33.577395379641871</v>
      </c>
      <c r="I16" s="10">
        <f>'TE Total'!I16/Population!N16*1000000</f>
        <v>31.33749585547217</v>
      </c>
    </row>
    <row r="17" spans="1:9" ht="16" thickBot="1">
      <c r="A17" s="23" t="s">
        <v>33</v>
      </c>
      <c r="B17" s="10">
        <f>'TE Total'!B17/Population!G17*1000000</f>
        <v>41.162376327870511</v>
      </c>
      <c r="C17" s="10">
        <f>'TE Total'!C17/Population!H17*1000000</f>
        <v>41.546192416671595</v>
      </c>
      <c r="D17" s="10">
        <f>'TE Total'!D17/Population!I17*1000000</f>
        <v>42.754876949784681</v>
      </c>
      <c r="E17" s="10">
        <f>'TE Total'!E17/Population!J17*1000000</f>
        <v>39.862221432994332</v>
      </c>
      <c r="F17" s="10">
        <f>'TE Total'!F17/Population!K17*1000000</f>
        <v>38.212904403774573</v>
      </c>
      <c r="G17" s="10">
        <f>'TE Total'!G17/Population!L17*1000000</f>
        <v>38.464986554766604</v>
      </c>
      <c r="H17" s="10">
        <f>'TE Total'!H17/Population!M17*1000000</f>
        <v>41.986444367820738</v>
      </c>
      <c r="I17" s="10">
        <f>'TE Total'!I17/Population!N17*1000000</f>
        <v>39.038269290981816</v>
      </c>
    </row>
    <row r="18" spans="1:9" ht="16" thickBot="1">
      <c r="A18" s="23" t="s">
        <v>35</v>
      </c>
      <c r="B18" s="10">
        <f>'TE Total'!B18/Population!G18*1000000</f>
        <v>40.228711553921542</v>
      </c>
      <c r="C18" s="10">
        <f>'TE Total'!C18/Population!H18*1000000</f>
        <v>43.226217686549759</v>
      </c>
      <c r="D18" s="10">
        <f>'TE Total'!D18/Population!I18*1000000</f>
        <v>42.341691463137934</v>
      </c>
      <c r="E18" s="10">
        <f>'TE Total'!E18/Population!J18*1000000</f>
        <v>40.424659108969678</v>
      </c>
      <c r="F18" s="10">
        <f>'TE Total'!F18/Population!K18*1000000</f>
        <v>39.666005325275762</v>
      </c>
      <c r="G18" s="10">
        <f>'TE Total'!G18/Population!L18*1000000</f>
        <v>38.675855267859582</v>
      </c>
      <c r="H18" s="10">
        <f>'TE Total'!H18/Population!M18*1000000</f>
        <v>38.941806125343177</v>
      </c>
      <c r="I18" s="10">
        <f>'TE Total'!I18/Population!N18*1000000</f>
        <v>38.666048114840002</v>
      </c>
    </row>
    <row r="19" spans="1:9" ht="16" thickBot="1">
      <c r="A19" s="23" t="s">
        <v>37</v>
      </c>
      <c r="B19" s="10">
        <f>'TE Total'!B19/Population!G19*1000000</f>
        <v>39.704174647873202</v>
      </c>
      <c r="C19" s="10">
        <f>'TE Total'!C19/Population!H19*1000000</f>
        <v>39.564082545336653</v>
      </c>
      <c r="D19" s="10">
        <f>'TE Total'!D19/Population!I19*1000000</f>
        <v>39.504183698134881</v>
      </c>
      <c r="E19" s="10">
        <f>'TE Total'!E19/Population!J19*1000000</f>
        <v>36.918524451812658</v>
      </c>
      <c r="F19" s="10">
        <f>'TE Total'!F19/Population!K19*1000000</f>
        <v>34.857066848403917</v>
      </c>
      <c r="G19" s="10">
        <f>'TE Total'!G19/Population!L19*1000000</f>
        <v>33.051761652245325</v>
      </c>
      <c r="H19" s="10">
        <f>'TE Total'!H19/Population!M19*1000000</f>
        <v>34.181546929681183</v>
      </c>
      <c r="I19" s="10">
        <f>'TE Total'!I19/Population!N19*1000000</f>
        <v>31.982551745982526</v>
      </c>
    </row>
    <row r="20" spans="1:9" ht="16" thickBot="1">
      <c r="A20" s="23" t="s">
        <v>39</v>
      </c>
      <c r="B20" s="10">
        <f>'TE Total'!B20/Population!G20*1000000</f>
        <v>49.202879636202738</v>
      </c>
      <c r="C20" s="10">
        <f>'TE Total'!C20/Population!H20*1000000</f>
        <v>47.691625305394041</v>
      </c>
      <c r="D20" s="10">
        <f>'TE Total'!D20/Population!I20*1000000</f>
        <v>46.674313512631208</v>
      </c>
      <c r="E20" s="10">
        <f>'TE Total'!E20/Population!J20*1000000</f>
        <v>46.043563656840369</v>
      </c>
      <c r="F20" s="10">
        <f>'TE Total'!F20/Population!K20*1000000</f>
        <v>45.895319619982324</v>
      </c>
      <c r="G20" s="10">
        <f>'TE Total'!G20/Population!L20*1000000</f>
        <v>46.034869553683926</v>
      </c>
      <c r="H20" s="10">
        <f>'TE Total'!H20/Population!M20*1000000</f>
        <v>47.991096340066825</v>
      </c>
      <c r="I20" s="10">
        <f>'TE Total'!I20/Population!N20*1000000</f>
        <v>48.192634235099682</v>
      </c>
    </row>
    <row r="21" spans="1:9" ht="16" thickBot="1">
      <c r="A21" s="23" t="s">
        <v>41</v>
      </c>
      <c r="B21" s="10">
        <f>'TE Total'!B21/Population!G21*1000000</f>
        <v>13.743967806338869</v>
      </c>
      <c r="C21" s="10">
        <f>'TE Total'!C21/Population!H21*1000000</f>
        <v>14.354178812991252</v>
      </c>
      <c r="D21" s="10">
        <f>'TE Total'!D21/Population!I21*1000000</f>
        <v>14.401284400468164</v>
      </c>
      <c r="E21" s="10">
        <f>'TE Total'!E21/Population!J21*1000000</f>
        <v>14.456104811510983</v>
      </c>
      <c r="F21" s="10">
        <f>'TE Total'!F21/Population!K21*1000000</f>
        <v>13.890830593004443</v>
      </c>
      <c r="G21" s="10">
        <f>'TE Total'!G21/Population!L21*1000000</f>
        <v>12.833072922133701</v>
      </c>
      <c r="H21" s="10">
        <f>'TE Total'!H21/Population!M21*1000000</f>
        <v>12.723875335850826</v>
      </c>
      <c r="I21" s="10">
        <f>'TE Total'!I21/Population!N21*1000000</f>
        <v>12.522720566457226</v>
      </c>
    </row>
    <row r="22" spans="1:9" ht="16" thickBot="1">
      <c r="A22" s="23" t="s">
        <v>43</v>
      </c>
      <c r="B22" s="10">
        <f>'TE Total'!B22/Population!G22*1000000</f>
        <v>12.243171936303039</v>
      </c>
      <c r="C22" s="10">
        <f>'TE Total'!C22/Population!H22*1000000</f>
        <v>12.015529061285054</v>
      </c>
      <c r="D22" s="10">
        <f>'TE Total'!D22/Population!I22*1000000</f>
        <v>12.456971829770787</v>
      </c>
      <c r="E22" s="10">
        <f>'TE Total'!E22/Population!J22*1000000</f>
        <v>12.048504709294498</v>
      </c>
      <c r="F22" s="10">
        <f>'TE Total'!F22/Population!K22*1000000</f>
        <v>11.695236136038956</v>
      </c>
      <c r="G22" s="10">
        <f>'TE Total'!G22/Population!L22*1000000</f>
        <v>10.753341314029107</v>
      </c>
      <c r="H22" s="10">
        <f>'TE Total'!H22/Population!M22*1000000</f>
        <v>11.816442357161485</v>
      </c>
      <c r="I22" s="10">
        <f>'TE Total'!I22/Population!N22*1000000</f>
        <v>11.010854830428919</v>
      </c>
    </row>
    <row r="23" spans="1:9" ht="16" thickBot="1">
      <c r="A23" s="23" t="s">
        <v>45</v>
      </c>
      <c r="B23" s="10">
        <f>'TE Total'!B23/Population!G23*1000000</f>
        <v>10.491923400100767</v>
      </c>
      <c r="C23" s="10">
        <f>'TE Total'!C23/Population!H23*1000000</f>
        <v>10.945892623075084</v>
      </c>
      <c r="D23" s="10">
        <f>'TE Total'!D23/Population!I23*1000000</f>
        <v>10.685337175191421</v>
      </c>
      <c r="E23" s="10">
        <f>'TE Total'!E23/Population!J23*1000000</f>
        <v>10.870057867885372</v>
      </c>
      <c r="F23" s="10">
        <f>'TE Total'!F23/Population!K23*1000000</f>
        <v>10.371896572570918</v>
      </c>
      <c r="G23" s="10">
        <f>'TE Total'!G23/Population!L23*1000000</f>
        <v>10.329821665291833</v>
      </c>
      <c r="H23" s="10">
        <f>'TE Total'!H23/Population!M23*1000000</f>
        <v>10.253579594534607</v>
      </c>
      <c r="I23" s="10">
        <f>'TE Total'!I23/Population!N23*1000000</f>
        <v>10.165474847172602</v>
      </c>
    </row>
    <row r="24" spans="1:9" ht="16" thickBot="1">
      <c r="A24" s="23" t="s">
        <v>47</v>
      </c>
      <c r="B24" s="10">
        <f>'TE Total'!B24/Population!G24*1000000</f>
        <v>19.375320982213964</v>
      </c>
      <c r="C24" s="10">
        <f>'TE Total'!C24/Population!H24*1000000</f>
        <v>20.154664411202489</v>
      </c>
      <c r="D24" s="10">
        <f>'TE Total'!D24/Population!I24*1000000</f>
        <v>20.149634474556713</v>
      </c>
      <c r="E24" s="10">
        <f>'TE Total'!E24/Population!J24*1000000</f>
        <v>20.142374396688183</v>
      </c>
      <c r="F24" s="10">
        <f>'TE Total'!F24/Population!K24*1000000</f>
        <v>19.211503156120287</v>
      </c>
      <c r="G24" s="10">
        <f>'TE Total'!G24/Population!L24*1000000</f>
        <v>18.918022621159849</v>
      </c>
      <c r="H24" s="10">
        <f>'TE Total'!H24/Population!M24*1000000</f>
        <v>19.654197879071283</v>
      </c>
      <c r="I24" s="10">
        <f>'TE Total'!I24/Population!N24*1000000</f>
        <v>19.093057203925117</v>
      </c>
    </row>
    <row r="25" spans="1:9" ht="16" thickBot="1">
      <c r="A25" s="23" t="s">
        <v>49</v>
      </c>
      <c r="B25" s="10">
        <f>'TE Total'!B25/Population!G25*1000000</f>
        <v>24.917551751031635</v>
      </c>
      <c r="C25" s="10">
        <f>'TE Total'!C25/Population!H25*1000000</f>
        <v>25.835414427847233</v>
      </c>
      <c r="D25" s="10">
        <f>'TE Total'!D25/Population!I25*1000000</f>
        <v>27.141421392926794</v>
      </c>
      <c r="E25" s="10">
        <f>'TE Total'!E25/Population!J25*1000000</f>
        <v>24.480220851108676</v>
      </c>
      <c r="F25" s="10">
        <f>'TE Total'!F25/Population!K25*1000000</f>
        <v>24.553483025119576</v>
      </c>
      <c r="G25" s="10">
        <f>'TE Total'!G25/Population!L25*1000000</f>
        <v>24.336344127569649</v>
      </c>
      <c r="H25" s="10">
        <f>'TE Total'!H25/Population!M25*1000000</f>
        <v>25.625652214268577</v>
      </c>
      <c r="I25" s="10">
        <f>'TE Total'!I25/Population!N25*1000000</f>
        <v>24.429358003839791</v>
      </c>
    </row>
    <row r="26" spans="1:9" ht="16" thickBot="1">
      <c r="A26" s="23" t="s">
        <v>51</v>
      </c>
      <c r="B26" s="10">
        <f>'TE Total'!B26/Population!G26*1000000</f>
        <v>25.662181161302339</v>
      </c>
      <c r="C26" s="10">
        <f>'TE Total'!C26/Population!H26*1000000</f>
        <v>24.76056428620857</v>
      </c>
      <c r="D26" s="10">
        <f>'TE Total'!D26/Population!I26*1000000</f>
        <v>25.644477092513281</v>
      </c>
      <c r="E26" s="10">
        <f>'TE Total'!E26/Population!J26*1000000</f>
        <v>26.158047306130925</v>
      </c>
      <c r="F26" s="10">
        <f>'TE Total'!F26/Population!K26*1000000</f>
        <v>26.315064074914002</v>
      </c>
      <c r="G26" s="10">
        <f>'TE Total'!G26/Population!L26*1000000</f>
        <v>25.421681071934575</v>
      </c>
      <c r="H26" s="10">
        <f>'TE Total'!H26/Population!M26*1000000</f>
        <v>26.592268214210034</v>
      </c>
      <c r="I26" s="10">
        <f>'TE Total'!I26/Population!N26*1000000</f>
        <v>26.241195721683759</v>
      </c>
    </row>
    <row r="27" spans="1:9" ht="16" thickBot="1">
      <c r="A27" s="23" t="s">
        <v>53</v>
      </c>
      <c r="B27" s="10">
        <f>'TE Total'!B27/Population!G27*1000000</f>
        <v>27.440710827805312</v>
      </c>
      <c r="C27" s="10">
        <f>'TE Total'!C27/Population!H27*1000000</f>
        <v>28.494989417235377</v>
      </c>
      <c r="D27" s="10">
        <f>'TE Total'!D27/Population!I27*1000000</f>
        <v>28.558867252279398</v>
      </c>
      <c r="E27" s="10">
        <f>'TE Total'!E27/Population!J27*1000000</f>
        <v>26.917223772586141</v>
      </c>
      <c r="F27" s="10">
        <f>'TE Total'!F27/Population!K27*1000000</f>
        <v>25.497942404460719</v>
      </c>
      <c r="G27" s="10">
        <f>'TE Total'!G27/Population!L27*1000000</f>
        <v>26.721402912571666</v>
      </c>
      <c r="H27" s="10">
        <f>'TE Total'!H27/Population!M27*1000000</f>
        <v>26.992915311416432</v>
      </c>
      <c r="I27" s="10">
        <f>'TE Total'!I27/Population!N27*1000000</f>
        <v>25.338365133546329</v>
      </c>
    </row>
    <row r="28" spans="1:9" ht="16" thickBot="1">
      <c r="A28" s="23" t="s">
        <v>55</v>
      </c>
      <c r="B28" s="10">
        <f>'TE Total'!B28/Population!G28*1000000</f>
        <v>51.846364368915197</v>
      </c>
      <c r="C28" s="10">
        <f>'TE Total'!C28/Population!H28*1000000</f>
        <v>55.60173114581405</v>
      </c>
      <c r="D28" s="10">
        <f>'TE Total'!D28/Population!I28*1000000</f>
        <v>58.263576476921109</v>
      </c>
      <c r="E28" s="10">
        <f>'TE Total'!E28/Population!J28*1000000</f>
        <v>55.577324638729522</v>
      </c>
      <c r="F28" s="10">
        <f>'TE Total'!F28/Population!K28*1000000</f>
        <v>52.823159918213513</v>
      </c>
      <c r="G28" s="10">
        <f>'TE Total'!G28/Population!L28*1000000</f>
        <v>53.094786154258884</v>
      </c>
      <c r="H28" s="10">
        <f>'TE Total'!H28/Population!M28*1000000</f>
        <v>53.304327644759276</v>
      </c>
      <c r="I28" s="10">
        <f>'TE Total'!I28/Population!N28*1000000</f>
        <v>55.590580792008822</v>
      </c>
    </row>
    <row r="29" spans="1:9" ht="16" thickBot="1">
      <c r="A29" s="23" t="s">
        <v>57</v>
      </c>
      <c r="B29" s="10">
        <f>'TE Total'!B29/Population!G29*1000000</f>
        <v>46.911139215417229</v>
      </c>
      <c r="C29" s="10">
        <f>'TE Total'!C29/Population!H29*1000000</f>
        <v>49.876925846502481</v>
      </c>
      <c r="D29" s="10">
        <f>'TE Total'!D29/Population!I29*1000000</f>
        <v>48.154721700864833</v>
      </c>
      <c r="E29" s="10">
        <f>'TE Total'!E29/Population!J29*1000000</f>
        <v>47.515085773602969</v>
      </c>
      <c r="F29" s="10">
        <f>'TE Total'!F29/Population!K29*1000000</f>
        <v>46.420741787863925</v>
      </c>
      <c r="G29" s="10">
        <f>'TE Total'!G29/Population!L29*1000000</f>
        <v>45.757746798803673</v>
      </c>
      <c r="H29" s="10">
        <f>'TE Total'!H29/Population!M29*1000000</f>
        <v>48.791172193443543</v>
      </c>
      <c r="I29" s="10">
        <f>'TE Total'!I29/Population!N29*1000000</f>
        <v>47.065109719441715</v>
      </c>
    </row>
    <row r="30" spans="1:9" ht="16" thickBot="1">
      <c r="A30" s="23" t="s">
        <v>59</v>
      </c>
      <c r="B30" s="10">
        <f>'TE Total'!B30/Population!G30*1000000</f>
        <v>15.894332385993163</v>
      </c>
      <c r="C30" s="10">
        <f>'TE Total'!C30/Population!H30*1000000</f>
        <v>16.396117225831798</v>
      </c>
      <c r="D30" s="10">
        <f>'TE Total'!D30/Population!I30*1000000</f>
        <v>16.50936643280415</v>
      </c>
      <c r="E30" s="10">
        <f>'TE Total'!E30/Population!J30*1000000</f>
        <v>15.553977613266207</v>
      </c>
      <c r="F30" s="10">
        <f>'TE Total'!F30/Population!K30*1000000</f>
        <v>15.594501005816291</v>
      </c>
      <c r="G30" s="10">
        <f>'TE Total'!G30/Population!L30*1000000</f>
        <v>15.284324665210031</v>
      </c>
      <c r="H30" s="10">
        <f>'TE Total'!H30/Population!M30*1000000</f>
        <v>15.408268287227639</v>
      </c>
      <c r="I30" s="10">
        <f>'TE Total'!I30/Population!N30*1000000</f>
        <v>15.448853980323335</v>
      </c>
    </row>
    <row r="31" spans="1:9" ht="16" thickBot="1">
      <c r="A31" s="23" t="s">
        <v>61</v>
      </c>
      <c r="B31" s="10">
        <f>'TE Total'!B31/Population!G31*1000000</f>
        <v>12.737917588911687</v>
      </c>
      <c r="C31" s="10">
        <f>'TE Total'!C31/Population!H31*1000000</f>
        <v>12.522460690619408</v>
      </c>
      <c r="D31" s="10">
        <f>'TE Total'!D31/Population!I31*1000000</f>
        <v>13.017965025206456</v>
      </c>
      <c r="E31" s="10">
        <f>'TE Total'!E31/Population!J31*1000000</f>
        <v>12.957023699036554</v>
      </c>
      <c r="F31" s="10">
        <f>'TE Total'!F31/Population!K31*1000000</f>
        <v>11.679846400765994</v>
      </c>
      <c r="G31" s="10">
        <f>'TE Total'!G31/Population!L31*1000000</f>
        <v>11.31340953061877</v>
      </c>
      <c r="H31" s="10">
        <f>'TE Total'!H31/Population!M31*1000000</f>
        <v>11.944637496357126</v>
      </c>
      <c r="I31" s="10">
        <f>'TE Total'!I31/Population!N31*1000000</f>
        <v>11.753809854573214</v>
      </c>
    </row>
    <row r="32" spans="1:9" ht="16" thickBot="1">
      <c r="A32" s="23" t="s">
        <v>63</v>
      </c>
      <c r="B32" s="10">
        <f>'TE Total'!B32/Population!G32*1000000</f>
        <v>12.08488820074931</v>
      </c>
      <c r="C32" s="10">
        <f>'TE Total'!C32/Population!H32*1000000</f>
        <v>12.206937971499288</v>
      </c>
      <c r="D32" s="10">
        <f>'TE Total'!D32/Population!I32*1000000</f>
        <v>12.864824055982018</v>
      </c>
      <c r="E32" s="10">
        <f>'TE Total'!E32/Population!J32*1000000</f>
        <v>12.60801824780747</v>
      </c>
      <c r="F32" s="10">
        <f>'TE Total'!F32/Population!K32*1000000</f>
        <v>12.760079201475691</v>
      </c>
      <c r="G32" s="10">
        <f>'TE Total'!G32/Population!L32*1000000</f>
        <v>11.993120320871753</v>
      </c>
      <c r="H32" s="10">
        <f>'TE Total'!H32/Population!M32*1000000</f>
        <v>12.473863964360442</v>
      </c>
      <c r="I32" s="10">
        <f>'TE Total'!I32/Population!N32*1000000</f>
        <v>12.221818766069516</v>
      </c>
    </row>
    <row r="33" spans="1:9" ht="16" thickBot="1">
      <c r="A33" s="23" t="s">
        <v>65</v>
      </c>
      <c r="B33" s="10">
        <f>'TE Total'!B33/Population!G33*1000000</f>
        <v>43.485487629002748</v>
      </c>
      <c r="C33" s="10">
        <f>'TE Total'!C33/Population!H33*1000000</f>
        <v>43.351899732684359</v>
      </c>
      <c r="D33" s="10">
        <f>'TE Total'!D33/Population!I33*1000000</f>
        <v>40.018124652249554</v>
      </c>
      <c r="E33" s="10">
        <f>'TE Total'!E33/Population!J33*1000000</f>
        <v>40.008555533922177</v>
      </c>
      <c r="F33" s="10">
        <f>'TE Total'!F33/Population!K33*1000000</f>
        <v>38.365852346903566</v>
      </c>
      <c r="G33" s="10">
        <f>'TE Total'!G33/Population!L33*1000000</f>
        <v>38.749897575034851</v>
      </c>
      <c r="H33" s="10">
        <f>'TE Total'!H33/Population!M33*1000000</f>
        <v>37.121709761343617</v>
      </c>
      <c r="I33" s="10">
        <f>'TE Total'!I33/Population!N33*1000000</f>
        <v>39.455238136089683</v>
      </c>
    </row>
    <row r="34" spans="1:9" ht="16" thickBot="1">
      <c r="A34" s="23" t="s">
        <v>67</v>
      </c>
      <c r="B34" s="10">
        <f>'TE Total'!B34/Population!G34*1000000</f>
        <v>10.135368525935512</v>
      </c>
      <c r="C34" s="10">
        <f>'TE Total'!C34/Population!H34*1000000</f>
        <v>10.109926552174846</v>
      </c>
      <c r="D34" s="10">
        <f>'TE Total'!D34/Population!I34*1000000</f>
        <v>10.355684929571343</v>
      </c>
      <c r="E34" s="10">
        <f>'TE Total'!E34/Population!J34*1000000</f>
        <v>10.277324310816322</v>
      </c>
      <c r="F34" s="10">
        <f>'TE Total'!F34/Population!K34*1000000</f>
        <v>10.007930153213133</v>
      </c>
      <c r="G34" s="10">
        <f>'TE Total'!G34/Population!L34*1000000</f>
        <v>9.8914820508105024</v>
      </c>
      <c r="H34" s="10">
        <f>'TE Total'!H34/Population!M34*1000000</f>
        <v>10.315016975696597</v>
      </c>
      <c r="I34" s="10">
        <f>'TE Total'!I34/Population!N34*1000000</f>
        <v>10.176522778388286</v>
      </c>
    </row>
    <row r="35" spans="1:9" ht="16" thickBot="1">
      <c r="A35" s="23" t="s">
        <v>69</v>
      </c>
      <c r="B35" s="10">
        <f>'TE Total'!B35/Population!G35*1000000</f>
        <v>15.258621397899846</v>
      </c>
      <c r="C35" s="10">
        <f>'TE Total'!C35/Population!H35*1000000</f>
        <v>15.253968706082572</v>
      </c>
      <c r="D35" s="10">
        <f>'TE Total'!D35/Population!I35*1000000</f>
        <v>15.379329099184858</v>
      </c>
      <c r="E35" s="10">
        <f>'TE Total'!E35/Population!J35*1000000</f>
        <v>14.879228111490876</v>
      </c>
      <c r="F35" s="10">
        <f>'TE Total'!F35/Population!K35*1000000</f>
        <v>14.810416207475527</v>
      </c>
      <c r="G35" s="10">
        <f>'TE Total'!G35/Population!L35*1000000</f>
        <v>14.280434952463001</v>
      </c>
      <c r="H35" s="10">
        <f>'TE Total'!H35/Population!M35*1000000</f>
        <v>14.455082671750974</v>
      </c>
      <c r="I35" s="10">
        <f>'TE Total'!I35/Population!N35*1000000</f>
        <v>14.180957929169331</v>
      </c>
    </row>
    <row r="36" spans="1:9" ht="16" thickBot="1">
      <c r="A36" s="23" t="s">
        <v>71</v>
      </c>
      <c r="B36" s="10">
        <f>'TE Total'!B36/Population!G36*1000000</f>
        <v>114.24583007453936</v>
      </c>
      <c r="C36" s="10">
        <f>'TE Total'!C36/Population!H36*1000000</f>
        <v>122.67304931697434</v>
      </c>
      <c r="D36" s="10">
        <f>'TE Total'!D36/Population!I36*1000000</f>
        <v>125.78450484389565</v>
      </c>
      <c r="E36" s="10">
        <f>'TE Total'!E36/Population!J36*1000000</f>
        <v>122.30537351151717</v>
      </c>
      <c r="F36" s="10">
        <f>'TE Total'!F36/Population!K36*1000000</f>
        <v>112.6737519399953</v>
      </c>
      <c r="G36" s="10">
        <f>'TE Total'!G36/Population!L36*1000000</f>
        <v>113.74400720759886</v>
      </c>
      <c r="H36" s="10">
        <f>'TE Total'!H36/Population!M36*1000000</f>
        <v>130.31670727259288</v>
      </c>
      <c r="I36" s="10">
        <f>'TE Total'!I36/Population!N36*1000000</f>
        <v>135.44432029967118</v>
      </c>
    </row>
    <row r="37" spans="1:9" ht="16" thickBot="1">
      <c r="A37" s="23" t="s">
        <v>73</v>
      </c>
      <c r="B37" s="10">
        <f>'TE Total'!B37/Population!G37*1000000</f>
        <v>21.756393059608847</v>
      </c>
      <c r="C37" s="10">
        <f>'TE Total'!C37/Population!H37*1000000</f>
        <v>22.838285225552411</v>
      </c>
      <c r="D37" s="10">
        <f>'TE Total'!D37/Population!I37*1000000</f>
        <v>22.752543467699585</v>
      </c>
      <c r="E37" s="10">
        <f>'TE Total'!E37/Population!J37*1000000</f>
        <v>21.366196191081031</v>
      </c>
      <c r="F37" s="10">
        <f>'TE Total'!F37/Population!K37*1000000</f>
        <v>20.623638681090942</v>
      </c>
      <c r="G37" s="10">
        <f>'TE Total'!G37/Population!L37*1000000</f>
        <v>20.723231071182582</v>
      </c>
      <c r="H37" s="10">
        <f>'TE Total'!H37/Population!M37*1000000</f>
        <v>21.38265843994844</v>
      </c>
      <c r="I37" s="10">
        <f>'TE Total'!I37/Population!N37*1000000</f>
        <v>19.798580269041757</v>
      </c>
    </row>
    <row r="38" spans="1:9" ht="16" thickBot="1">
      <c r="A38" s="23" t="s">
        <v>75</v>
      </c>
      <c r="B38" s="10">
        <f>'TE Total'!B38/Population!G38*1000000</f>
        <v>40.104814739973982</v>
      </c>
      <c r="C38" s="10">
        <f>'TE Total'!C38/Population!H38*1000000</f>
        <v>40.316016104504449</v>
      </c>
      <c r="D38" s="10">
        <f>'TE Total'!D38/Population!I38*1000000</f>
        <v>40.315176695008255</v>
      </c>
      <c r="E38" s="10">
        <f>'TE Total'!E38/Population!J38*1000000</f>
        <v>39.022238889151296</v>
      </c>
      <c r="F38" s="10">
        <f>'TE Total'!F38/Population!K38*1000000</f>
        <v>37.488162728398088</v>
      </c>
      <c r="G38" s="10">
        <f>'TE Total'!G38/Population!L38*1000000</f>
        <v>37.293256259075584</v>
      </c>
      <c r="H38" s="10">
        <f>'TE Total'!H38/Population!M38*1000000</f>
        <v>38.409295111647651</v>
      </c>
      <c r="I38" s="10">
        <f>'TE Total'!I38/Population!N38*1000000</f>
        <v>36.062314231162674</v>
      </c>
    </row>
    <row r="39" spans="1:9" ht="16" thickBot="1">
      <c r="A39" s="23" t="s">
        <v>77</v>
      </c>
      <c r="B39" s="10">
        <f>'TE Total'!B39/Population!G39*1000000</f>
        <v>12.60202082351169</v>
      </c>
      <c r="C39" s="10">
        <f>'TE Total'!C39/Population!H39*1000000</f>
        <v>13.14084480221042</v>
      </c>
      <c r="D39" s="10">
        <f>'TE Total'!D39/Population!I39*1000000</f>
        <v>12.67750640970508</v>
      </c>
      <c r="E39" s="10">
        <f>'TE Total'!E39/Population!J39*1000000</f>
        <v>12.706875262486029</v>
      </c>
      <c r="F39" s="10">
        <f>'TE Total'!F39/Population!K39*1000000</f>
        <v>12.401840090022118</v>
      </c>
      <c r="G39" s="10">
        <f>'TE Total'!G39/Population!L39*1000000</f>
        <v>12.589092789564379</v>
      </c>
      <c r="H39" s="10">
        <f>'TE Total'!H39/Population!M39*1000000</f>
        <v>12.706019351190754</v>
      </c>
      <c r="I39" s="10">
        <f>'TE Total'!I39/Population!N39*1000000</f>
        <v>13.109767581636147</v>
      </c>
    </row>
    <row r="40" spans="1:9" ht="16" thickBot="1">
      <c r="A40" s="23" t="s">
        <v>79</v>
      </c>
      <c r="B40" s="10">
        <f>'TE Total'!B40/Population!G40*1000000</f>
        <v>22.507886227365642</v>
      </c>
      <c r="C40" s="10">
        <f>'TE Total'!C40/Population!H40*1000000</f>
        <v>23.435519522590603</v>
      </c>
      <c r="D40" s="10">
        <f>'TE Total'!D40/Population!I40*1000000</f>
        <v>23.265010579980171</v>
      </c>
      <c r="E40" s="10">
        <f>'TE Total'!E40/Population!J40*1000000</f>
        <v>22.199781346858533</v>
      </c>
      <c r="F40" s="10">
        <f>'TE Total'!F40/Population!K40*1000000</f>
        <v>21.177948981838053</v>
      </c>
      <c r="G40" s="10">
        <f>'TE Total'!G40/Population!L40*1000000</f>
        <v>21.533675519661521</v>
      </c>
      <c r="H40" s="10">
        <f>'TE Total'!H40/Population!M40*1000000</f>
        <v>21.94233390484381</v>
      </c>
      <c r="I40" s="10">
        <f>'TE Total'!I40/Population!N40*1000000</f>
        <v>21.43470399298203</v>
      </c>
    </row>
    <row r="41" spans="1:9" ht="16" thickBot="1">
      <c r="A41" s="23" t="s">
        <v>81</v>
      </c>
      <c r="B41" s="10">
        <f>'TE Total'!B41/Population!G41*1000000</f>
        <v>11.038907282225082</v>
      </c>
      <c r="C41" s="10">
        <f>'TE Total'!C41/Population!H41*1000000</f>
        <v>10.542496181532886</v>
      </c>
      <c r="D41" s="10">
        <f>'TE Total'!D41/Population!I41*1000000</f>
        <v>10.9878756350311</v>
      </c>
      <c r="E41" s="10">
        <f>'TE Total'!E41/Population!J41*1000000</f>
        <v>11.236369249116105</v>
      </c>
      <c r="F41" s="10">
        <f>'TE Total'!F41/Population!K41*1000000</f>
        <v>10.049264298865976</v>
      </c>
      <c r="G41" s="10">
        <f>'TE Total'!G41/Population!L41*1000000</f>
        <v>10.378559526233216</v>
      </c>
      <c r="H41" s="10">
        <f>'TE Total'!H41/Population!M41*1000000</f>
        <v>11.379745259098335</v>
      </c>
      <c r="I41" s="10">
        <f>'TE Total'!I41/Population!N41*1000000</f>
        <v>10.930224192374743</v>
      </c>
    </row>
    <row r="42" spans="1:9" ht="16" thickBot="1">
      <c r="A42" s="23" t="s">
        <v>83</v>
      </c>
      <c r="B42" s="10">
        <f>'TE Total'!B42/Population!G42*1000000</f>
        <v>18.155940870608866</v>
      </c>
      <c r="C42" s="10">
        <f>'TE Total'!C42/Population!H42*1000000</f>
        <v>17.053766605388763</v>
      </c>
      <c r="D42" s="10">
        <f>'TE Total'!D42/Population!I42*1000000</f>
        <v>17.747983683005035</v>
      </c>
      <c r="E42" s="10">
        <f>'TE Total'!E42/Population!J42*1000000</f>
        <v>17.249767677832018</v>
      </c>
      <c r="F42" s="10">
        <f>'TE Total'!F42/Population!K42*1000000</f>
        <v>16.773847761731759</v>
      </c>
      <c r="G42" s="10">
        <f>'TE Total'!G42/Population!L42*1000000</f>
        <v>16.023049014068736</v>
      </c>
      <c r="H42" s="10">
        <f>'TE Total'!H42/Population!M42*1000000</f>
        <v>16.708252661595772</v>
      </c>
      <c r="I42" s="10">
        <f>'TE Total'!I42/Population!N42*1000000</f>
        <v>15.65114837665454</v>
      </c>
    </row>
    <row r="43" spans="1:9" ht="16" thickBot="1">
      <c r="A43" s="23" t="s">
        <v>85</v>
      </c>
      <c r="B43" s="10">
        <f>'TE Total'!B43/Population!G43*1000000</f>
        <v>45.383235707683731</v>
      </c>
      <c r="C43" s="10">
        <f>'TE Total'!C43/Population!H43*1000000</f>
        <v>50.392155506577815</v>
      </c>
      <c r="D43" s="10">
        <f>'TE Total'!D43/Population!I43*1000000</f>
        <v>50.707385163753919</v>
      </c>
      <c r="E43" s="10">
        <f>'TE Total'!E43/Population!J43*1000000</f>
        <v>47.827002986573113</v>
      </c>
      <c r="F43" s="10">
        <f>'TE Total'!F43/Population!K43*1000000</f>
        <v>47.083848012534126</v>
      </c>
      <c r="G43" s="10">
        <f>'TE Total'!G43/Population!L43*1000000</f>
        <v>49.721230233270667</v>
      </c>
      <c r="H43" s="10">
        <f>'TE Total'!H43/Population!M43*1000000</f>
        <v>51.765104626490896</v>
      </c>
      <c r="I43" s="10">
        <f>'TE Total'!I43/Population!N43*1000000</f>
        <v>49.906936171548701</v>
      </c>
    </row>
    <row r="44" spans="1:9" ht="16" thickBot="1">
      <c r="A44" s="23" t="s">
        <v>87</v>
      </c>
      <c r="B44" s="10">
        <f>'TE Total'!B44/Population!G44*1000000</f>
        <v>17.939430363759392</v>
      </c>
      <c r="C44" s="10">
        <f>'TE Total'!C44/Population!H44*1000000</f>
        <v>17.511584976246393</v>
      </c>
      <c r="D44" s="10">
        <f>'TE Total'!D44/Population!I44*1000000</f>
        <v>18.323627012097891</v>
      </c>
      <c r="E44" s="10">
        <f>'TE Total'!E44/Population!J44*1000000</f>
        <v>17.434471439259948</v>
      </c>
      <c r="F44" s="10">
        <f>'TE Total'!F44/Population!K44*1000000</f>
        <v>17.757229513554602</v>
      </c>
      <c r="G44" s="10">
        <f>'TE Total'!G44/Population!L44*1000000</f>
        <v>16.982873505053885</v>
      </c>
      <c r="H44" s="10">
        <f>'TE Total'!H44/Population!M44*1000000</f>
        <v>16.288727869869017</v>
      </c>
      <c r="I44" s="10">
        <f>'TE Total'!I44/Population!N44*1000000</f>
        <v>16.003276102889895</v>
      </c>
    </row>
    <row r="45" spans="1:9" ht="16" thickBot="1">
      <c r="A45" s="23" t="s">
        <v>89</v>
      </c>
      <c r="B45" s="10">
        <f>'TE Total'!B45/Population!G45*1000000</f>
        <v>30.990102720717157</v>
      </c>
      <c r="C45" s="10">
        <f>'TE Total'!C45/Population!H45*1000000</f>
        <v>32.474394679921836</v>
      </c>
      <c r="D45" s="10">
        <f>'TE Total'!D45/Population!I45*1000000</f>
        <v>31.953594941157451</v>
      </c>
      <c r="E45" s="10">
        <f>'TE Total'!E45/Population!J45*1000000</f>
        <v>30.996984814775551</v>
      </c>
      <c r="F45" s="10">
        <f>'TE Total'!F45/Population!K45*1000000</f>
        <v>29.820922379209051</v>
      </c>
      <c r="G45" s="10">
        <f>'TE Total'!G45/Population!L45*1000000</f>
        <v>29.789630163929679</v>
      </c>
      <c r="H45" s="10">
        <f>'TE Total'!H45/Population!M45*1000000</f>
        <v>30.506536659681036</v>
      </c>
      <c r="I45" s="10">
        <f>'TE Total'!I45/Population!N45*1000000</f>
        <v>29.990156597740242</v>
      </c>
    </row>
    <row r="46" spans="1:9" ht="16" thickBot="1">
      <c r="A46" s="23" t="s">
        <v>91</v>
      </c>
      <c r="B46" s="10">
        <f>'TE Total'!B46/Population!G46*1000000</f>
        <v>27.637648719804687</v>
      </c>
      <c r="C46" s="10">
        <f>'TE Total'!C46/Population!H46*1000000</f>
        <v>29.008639429890152</v>
      </c>
      <c r="D46" s="10">
        <f>'TE Total'!D46/Population!I46*1000000</f>
        <v>28.141255549490971</v>
      </c>
      <c r="E46" s="10">
        <f>'TE Total'!E46/Population!J46*1000000</f>
        <v>26.981845054873961</v>
      </c>
      <c r="F46" s="10">
        <f>'TE Total'!F46/Population!K46*1000000</f>
        <v>24.406781648125033</v>
      </c>
      <c r="G46" s="10">
        <f>'TE Total'!G46/Population!L46*1000000</f>
        <v>23.862930088325342</v>
      </c>
      <c r="H46" s="10">
        <f>'TE Total'!H46/Population!M46*1000000</f>
        <v>23.885881616410902</v>
      </c>
      <c r="I46" s="10">
        <f>'TE Total'!I46/Population!N46*1000000</f>
        <v>23.704164281384628</v>
      </c>
    </row>
    <row r="47" spans="1:9" ht="16" thickBot="1">
      <c r="A47" s="23" t="s">
        <v>93</v>
      </c>
      <c r="B47" s="10">
        <f>'TE Total'!B47/Population!G47*1000000</f>
        <v>13.113462125921705</v>
      </c>
      <c r="C47" s="10">
        <f>'TE Total'!C47/Population!H47*1000000</f>
        <v>13.591724542610484</v>
      </c>
      <c r="D47" s="10">
        <f>'TE Total'!D47/Population!I47*1000000</f>
        <v>13.791111958164901</v>
      </c>
      <c r="E47" s="10">
        <f>'TE Total'!E47/Population!J47*1000000</f>
        <v>14.270394110426235</v>
      </c>
      <c r="F47" s="10">
        <f>'TE Total'!F47/Population!K47*1000000</f>
        <v>13.973921044689599</v>
      </c>
      <c r="G47" s="10">
        <f>'TE Total'!G47/Population!L47*1000000</f>
        <v>13.662480950837168</v>
      </c>
      <c r="H47" s="10">
        <f>'TE Total'!H47/Population!M47*1000000</f>
        <v>13.842118963881667</v>
      </c>
      <c r="I47" s="10">
        <f>'TE Total'!I47/Population!N47*1000000</f>
        <v>14.253317196589604</v>
      </c>
    </row>
    <row r="48" spans="1:9" ht="16" thickBot="1">
      <c r="A48" s="23" t="s">
        <v>95</v>
      </c>
      <c r="B48" s="10">
        <f>'TE Total'!B48/Population!G48*1000000</f>
        <v>14.568431888767734</v>
      </c>
      <c r="C48" s="10">
        <f>'TE Total'!C48/Population!H48*1000000</f>
        <v>15.400862397137471</v>
      </c>
      <c r="D48" s="10">
        <f>'TE Total'!D48/Population!I48*1000000</f>
        <v>15.267264043383385</v>
      </c>
      <c r="E48" s="10">
        <f>'TE Total'!E48/Population!J48*1000000</f>
        <v>15.288033836973893</v>
      </c>
      <c r="F48" s="10">
        <f>'TE Total'!F48/Population!K48*1000000</f>
        <v>15.531214473122454</v>
      </c>
      <c r="G48" s="10">
        <f>'TE Total'!G48/Population!L48*1000000</f>
        <v>14.829086672022276</v>
      </c>
      <c r="H48" s="10">
        <f>'TE Total'!H48/Population!M48*1000000</f>
        <v>15.261929857430042</v>
      </c>
      <c r="I48" s="10">
        <f>'TE Total'!I48/Population!N48*1000000</f>
        <v>14.64099995767428</v>
      </c>
    </row>
    <row r="49" spans="1:9" ht="16" thickBot="1">
      <c r="A49" s="23" t="s">
        <v>97</v>
      </c>
      <c r="B49" s="10">
        <f>'TE Total'!B49/Population!G49*1000000</f>
        <v>11.501580380085581</v>
      </c>
      <c r="C49" s="10">
        <f>'TE Total'!C49/Population!H49*1000000</f>
        <v>12.408823272188696</v>
      </c>
      <c r="D49" s="10">
        <f>'TE Total'!D49/Population!I49*1000000</f>
        <v>12.25031511958117</v>
      </c>
      <c r="E49" s="10">
        <f>'TE Total'!E49/Population!J49*1000000</f>
        <v>12.063915279013067</v>
      </c>
      <c r="F49" s="10">
        <f>'TE Total'!F49/Population!K49*1000000</f>
        <v>11.921826877244905</v>
      </c>
      <c r="G49" s="10">
        <f>'TE Total'!G49/Population!L49*1000000</f>
        <v>11.973667993923213</v>
      </c>
      <c r="H49" s="10">
        <f>'TE Total'!H49/Population!M49*1000000</f>
        <v>11.95955371363781</v>
      </c>
      <c r="I49" s="10">
        <f>'TE Total'!I49/Population!N49*1000000</f>
        <v>12.587397912578037</v>
      </c>
    </row>
    <row r="50" spans="1:9" ht="16" thickBot="1">
      <c r="A50" s="23" t="s">
        <v>99</v>
      </c>
      <c r="B50" s="10">
        <f>'TE Total'!B50/Population!G50*1000000</f>
        <v>67.241141529208264</v>
      </c>
      <c r="C50" s="10">
        <f>'TE Total'!C50/Population!H50*1000000</f>
        <v>69.325870319017497</v>
      </c>
      <c r="D50" s="10">
        <f>'TE Total'!D50/Population!I50*1000000</f>
        <v>74.048500895587921</v>
      </c>
      <c r="E50" s="10">
        <f>'TE Total'!E50/Population!J50*1000000</f>
        <v>69.960812688608883</v>
      </c>
      <c r="F50" s="10">
        <f>'TE Total'!F50/Population!K50*1000000</f>
        <v>69.561410058637719</v>
      </c>
      <c r="G50" s="10">
        <f>'TE Total'!G50/Population!L50*1000000</f>
        <v>70.334074679717816</v>
      </c>
      <c r="H50" s="10">
        <f>'TE Total'!H50/Population!M50*1000000</f>
        <v>69.180632998977998</v>
      </c>
      <c r="I50" s="10">
        <f>'TE Total'!I50/Population!N50*1000000</f>
        <v>66.09580337109233</v>
      </c>
    </row>
    <row r="51" spans="1:9" ht="16" thickBot="1">
      <c r="A51" s="23" t="s">
        <v>101</v>
      </c>
      <c r="B51" s="10">
        <f>'TE Total'!B51/Population!G51*1000000</f>
        <v>21.115350937802535</v>
      </c>
      <c r="C51" s="10">
        <f>'TE Total'!C51/Population!H51*1000000</f>
        <v>22.95363914295767</v>
      </c>
      <c r="D51" s="10">
        <f>'TE Total'!D51/Population!I51*1000000</f>
        <v>23.057260513242838</v>
      </c>
      <c r="E51" s="10">
        <f>'TE Total'!E51/Population!J51*1000000</f>
        <v>22.7295586109128</v>
      </c>
      <c r="F51" s="10">
        <f>'TE Total'!F51/Population!K51*1000000</f>
        <v>22.015562902166049</v>
      </c>
      <c r="G51" s="10">
        <f>'TE Total'!G51/Population!L51*1000000</f>
        <v>22.396780784269282</v>
      </c>
      <c r="H51" s="10">
        <f>'TE Total'!H51/Population!M51*1000000</f>
        <v>22.987568034126252</v>
      </c>
      <c r="I51" s="10">
        <f>'TE Total'!I51/Population!N51*1000000</f>
        <v>21.576632891992421</v>
      </c>
    </row>
    <row r="52" spans="1:9" ht="16" thickBot="1">
      <c r="A52" s="23" t="s">
        <v>103</v>
      </c>
      <c r="B52" s="10">
        <f>'TE Total'!B52/Population!G52*1000000</f>
        <v>177.3523679387408</v>
      </c>
      <c r="C52" s="10">
        <f>'TE Total'!C52/Population!H52*1000000</f>
        <v>179.73741482773201</v>
      </c>
      <c r="D52" s="10">
        <f>'TE Total'!D52/Population!I52*1000000</f>
        <v>171.93576730066553</v>
      </c>
      <c r="E52" s="10">
        <f>'TE Total'!E52/Population!J52*1000000</f>
        <v>166.18696361997274</v>
      </c>
      <c r="F52" s="10">
        <f>'TE Total'!F52/Population!K52*1000000</f>
        <v>155.82043886720456</v>
      </c>
      <c r="G52" s="10">
        <f>'TE Total'!G52/Population!L52*1000000</f>
        <v>159.33412000457136</v>
      </c>
      <c r="H52" s="10">
        <f>'TE Total'!H52/Population!M52*1000000</f>
        <v>162.22517720496745</v>
      </c>
      <c r="I52" s="10">
        <f>'TE Total'!I52/Population!N52*1000000</f>
        <v>151.5203205859045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9605F-206C-4735-A16D-F124C3DCAB73}">
  <dimension ref="A1:O66"/>
  <sheetViews>
    <sheetView workbookViewId="0">
      <selection activeCell="J1" sqref="J1:P1048576"/>
    </sheetView>
  </sheetViews>
  <sheetFormatPr baseColWidth="10" defaultColWidth="8.83203125" defaultRowHeight="15"/>
  <cols>
    <col min="1" max="1" width="8.6640625" style="22"/>
    <col min="2" max="8" width="12.5" bestFit="1" customWidth="1"/>
    <col min="9" max="9" width="9.5" customWidth="1"/>
  </cols>
  <sheetData>
    <row r="1" spans="1:15">
      <c r="B1" s="13">
        <v>2012</v>
      </c>
      <c r="C1" s="13">
        <v>2013</v>
      </c>
      <c r="D1" s="13">
        <v>2014</v>
      </c>
      <c r="E1" s="13">
        <v>2015</v>
      </c>
      <c r="F1" s="13">
        <v>2016</v>
      </c>
      <c r="G1" s="13">
        <v>2017</v>
      </c>
      <c r="H1" s="13">
        <v>2018</v>
      </c>
      <c r="I1" s="13">
        <v>2019</v>
      </c>
    </row>
    <row r="2" spans="1:15">
      <c r="A2" s="24" t="s">
        <v>2</v>
      </c>
      <c r="B2" s="14">
        <v>7400.7</v>
      </c>
      <c r="C2" s="14">
        <v>7535.1</v>
      </c>
      <c r="D2" s="14">
        <v>7731.2</v>
      </c>
      <c r="E2" s="14">
        <v>7686.9</v>
      </c>
      <c r="F2" s="14">
        <v>7616.2</v>
      </c>
      <c r="G2" s="14">
        <v>7473.3</v>
      </c>
      <c r="H2" s="14">
        <v>7725.6</v>
      </c>
      <c r="I2" s="14">
        <v>7550.1</v>
      </c>
    </row>
    <row r="3" spans="1:15" ht="16" thickBot="1">
      <c r="A3" s="23" t="s">
        <v>5</v>
      </c>
      <c r="B3" s="19">
        <v>119.30235</v>
      </c>
      <c r="C3" s="19">
        <v>120.7991</v>
      </c>
      <c r="D3" s="19">
        <v>123.32398000000001</v>
      </c>
      <c r="E3" s="19">
        <v>123.36642999999999</v>
      </c>
      <c r="F3" s="19">
        <v>118.80189</v>
      </c>
      <c r="G3" s="19">
        <v>114.09947</v>
      </c>
      <c r="H3" s="19">
        <v>119.32029</v>
      </c>
      <c r="I3" s="19">
        <v>114.79303</v>
      </c>
    </row>
    <row r="4" spans="1:15" ht="16" thickBot="1">
      <c r="A4" s="23" t="s">
        <v>7</v>
      </c>
      <c r="B4" s="19">
        <v>54.58811</v>
      </c>
      <c r="C4" s="19">
        <v>34.278739999999999</v>
      </c>
      <c r="D4" s="19">
        <v>30.46932</v>
      </c>
      <c r="E4" s="19">
        <v>34.70093</v>
      </c>
      <c r="F4" s="19">
        <v>34.661209999999997</v>
      </c>
      <c r="G4" s="19">
        <v>30.063140000000001</v>
      </c>
      <c r="H4" s="19">
        <v>32.904980000000002</v>
      </c>
      <c r="I4" s="19">
        <v>39.683669999999999</v>
      </c>
    </row>
    <row r="5" spans="1:15" ht="16" thickBot="1">
      <c r="A5" s="23" t="s">
        <v>9</v>
      </c>
      <c r="B5" s="19">
        <v>144.88302999999999</v>
      </c>
      <c r="C5" s="19">
        <v>148.36081999999999</v>
      </c>
      <c r="D5" s="19">
        <v>150.59351000000001</v>
      </c>
      <c r="E5" s="19">
        <v>149.73349999999999</v>
      </c>
      <c r="F5" s="19">
        <v>145.80704</v>
      </c>
      <c r="G5" s="19">
        <v>145.32879</v>
      </c>
      <c r="H5" s="19">
        <v>153.0599</v>
      </c>
      <c r="I5" s="19">
        <v>151.19085999999999</v>
      </c>
    </row>
    <row r="6" spans="1:15" ht="16" thickBot="1">
      <c r="A6" s="23" t="s">
        <v>11</v>
      </c>
      <c r="B6" s="19">
        <v>74.793360000000007</v>
      </c>
      <c r="C6" s="19">
        <v>74.260940000000005</v>
      </c>
      <c r="D6" s="19">
        <v>75.462159999999997</v>
      </c>
      <c r="E6" s="19">
        <v>71.798259999999999</v>
      </c>
      <c r="F6" s="19">
        <v>73.013419999999996</v>
      </c>
      <c r="G6" s="19">
        <v>72.38758</v>
      </c>
      <c r="H6" s="19">
        <v>76.245459999999994</v>
      </c>
      <c r="I6" s="19">
        <v>71.692949999999996</v>
      </c>
    </row>
    <row r="7" spans="1:15" ht="16" thickBot="1">
      <c r="A7" s="23" t="s">
        <v>13</v>
      </c>
      <c r="B7" s="19">
        <v>729.32917999999995</v>
      </c>
      <c r="C7" s="19">
        <v>731.23726999999997</v>
      </c>
      <c r="D7" s="19">
        <v>746.83965000000001</v>
      </c>
      <c r="E7" s="19">
        <v>755.21780999999999</v>
      </c>
      <c r="F7" s="19">
        <v>766.09104000000002</v>
      </c>
      <c r="G7" s="19">
        <v>775.61749999999995</v>
      </c>
      <c r="H7" s="19">
        <v>786.07673999999997</v>
      </c>
      <c r="I7" s="19">
        <v>774.65485999999999</v>
      </c>
    </row>
    <row r="8" spans="1:15" ht="16" thickBot="1">
      <c r="A8" s="23" t="s">
        <v>15</v>
      </c>
      <c r="B8" s="19">
        <v>143.37816000000001</v>
      </c>
      <c r="C8" s="19">
        <v>147.49578</v>
      </c>
      <c r="D8" s="19">
        <v>150.37549000000001</v>
      </c>
      <c r="E8" s="19">
        <v>152.69925000000001</v>
      </c>
      <c r="F8" s="19">
        <v>151.8946</v>
      </c>
      <c r="G8" s="19">
        <v>155.29638</v>
      </c>
      <c r="H8" s="19">
        <v>159.47506999999999</v>
      </c>
      <c r="I8" s="19">
        <v>158.80620999999999</v>
      </c>
    </row>
    <row r="9" spans="1:15" ht="16" thickBot="1">
      <c r="A9" s="23" t="s">
        <v>17</v>
      </c>
      <c r="B9" s="19">
        <v>77.139629999999997</v>
      </c>
      <c r="C9" s="19">
        <v>78.858429999999998</v>
      </c>
      <c r="D9" s="19">
        <v>81.348029999999994</v>
      </c>
      <c r="E9" s="19">
        <v>82.022400000000005</v>
      </c>
      <c r="F9" s="19">
        <v>79.915440000000004</v>
      </c>
      <c r="G9" s="19">
        <v>77.244119999999995</v>
      </c>
      <c r="H9" s="19">
        <v>80.993579999999994</v>
      </c>
      <c r="I9" s="19">
        <v>78.308090000000007</v>
      </c>
      <c r="J9" s="28"/>
      <c r="K9" s="28"/>
      <c r="L9" s="28"/>
      <c r="M9" s="28"/>
      <c r="N9" s="28"/>
      <c r="O9" s="29"/>
    </row>
    <row r="10" spans="1:15" ht="16" thickBot="1">
      <c r="A10" s="23" t="s">
        <v>19</v>
      </c>
      <c r="B10" s="19">
        <v>21.429790000000001</v>
      </c>
      <c r="C10" s="19">
        <v>21.65503</v>
      </c>
      <c r="D10" s="19">
        <v>21.510750000000002</v>
      </c>
      <c r="E10" s="19">
        <v>21.68009</v>
      </c>
      <c r="F10" s="19">
        <v>21.777149999999999</v>
      </c>
      <c r="G10" s="19">
        <v>21.357959999999999</v>
      </c>
      <c r="H10" s="19">
        <v>22.23678</v>
      </c>
      <c r="I10" s="19">
        <v>21.42718</v>
      </c>
      <c r="J10" s="28"/>
      <c r="K10" s="28"/>
      <c r="L10" s="28"/>
      <c r="M10" s="28"/>
      <c r="N10" s="28"/>
      <c r="O10" s="29"/>
    </row>
    <row r="11" spans="1:15" ht="16" thickBot="1">
      <c r="A11" s="23" t="s">
        <v>21</v>
      </c>
      <c r="B11" s="19">
        <v>405.69256000000001</v>
      </c>
      <c r="C11" s="19">
        <v>402.49682999999999</v>
      </c>
      <c r="D11" s="19">
        <v>437.44146999999998</v>
      </c>
      <c r="E11" s="19">
        <v>429.09437000000003</v>
      </c>
      <c r="F11" s="19">
        <v>451.06484999999998</v>
      </c>
      <c r="G11" s="19">
        <v>426.87781000000001</v>
      </c>
      <c r="H11" s="19">
        <v>440.96505000000002</v>
      </c>
      <c r="I11" s="19">
        <v>430.20764000000003</v>
      </c>
      <c r="J11" s="28"/>
      <c r="K11" s="28"/>
      <c r="L11" s="28"/>
      <c r="M11" s="28"/>
      <c r="N11" s="28"/>
      <c r="O11" s="29"/>
    </row>
    <row r="12" spans="1:15" ht="16" thickBot="1">
      <c r="A12" s="23" t="s">
        <v>23</v>
      </c>
      <c r="B12" s="19">
        <v>224.06361999999999</v>
      </c>
      <c r="C12" s="19">
        <v>206.21402</v>
      </c>
      <c r="D12" s="19">
        <v>217.75304</v>
      </c>
      <c r="E12" s="19">
        <v>215.71922000000001</v>
      </c>
      <c r="F12" s="19">
        <v>216.49849</v>
      </c>
      <c r="G12" s="19">
        <v>212.31082000000001</v>
      </c>
      <c r="H12" s="19">
        <v>218.92287999999999</v>
      </c>
      <c r="I12" s="19">
        <v>214.00658000000001</v>
      </c>
      <c r="J12" s="28"/>
      <c r="K12" s="28"/>
      <c r="L12" s="28"/>
      <c r="M12" s="28"/>
      <c r="N12" s="28"/>
      <c r="O12" s="29"/>
    </row>
    <row r="13" spans="1:15" ht="16" thickBot="1">
      <c r="A13" s="23" t="s">
        <v>25</v>
      </c>
      <c r="B13" s="19">
        <v>28.27411</v>
      </c>
      <c r="C13" s="19">
        <v>27.944939999999999</v>
      </c>
      <c r="D13" s="19">
        <v>27.435500000000001</v>
      </c>
      <c r="E13" s="19">
        <v>27.713799999999999</v>
      </c>
      <c r="F13" s="19">
        <v>28.123169999999998</v>
      </c>
      <c r="G13" s="19">
        <v>29.10051</v>
      </c>
      <c r="H13" s="19">
        <v>28.789909999999999</v>
      </c>
      <c r="I13" s="19">
        <v>28.591570000000001</v>
      </c>
      <c r="J13" s="28"/>
      <c r="K13" s="28"/>
      <c r="L13" s="28"/>
      <c r="M13" s="28"/>
      <c r="N13" s="28"/>
      <c r="O13" s="29"/>
    </row>
    <row r="14" spans="1:15" ht="16" thickBot="1">
      <c r="A14" s="23" t="s">
        <v>27</v>
      </c>
      <c r="B14" s="19">
        <v>28.51294</v>
      </c>
      <c r="C14" s="19">
        <v>30.219470000000001</v>
      </c>
      <c r="D14" s="19">
        <v>30.43186</v>
      </c>
      <c r="E14" s="19">
        <v>30.73743</v>
      </c>
      <c r="F14" s="19">
        <v>30.82009</v>
      </c>
      <c r="G14" s="19">
        <v>30.94746</v>
      </c>
      <c r="H14" s="19">
        <v>31.789670000000001</v>
      </c>
      <c r="I14" s="19">
        <v>32.188699999999997</v>
      </c>
      <c r="J14" s="28"/>
      <c r="K14" s="28"/>
      <c r="L14" s="28"/>
      <c r="M14" s="28"/>
      <c r="N14" s="28"/>
      <c r="O14" s="29"/>
    </row>
    <row r="15" spans="1:15" ht="16" thickBot="1">
      <c r="A15" s="23" t="s">
        <v>29</v>
      </c>
      <c r="B15" s="19">
        <v>316.48307</v>
      </c>
      <c r="C15" s="19">
        <v>323.24556999999999</v>
      </c>
      <c r="D15" s="19">
        <v>328.81826999999998</v>
      </c>
      <c r="E15" s="19">
        <v>319.39846999999997</v>
      </c>
      <c r="F15" s="19">
        <v>308.62657999999999</v>
      </c>
      <c r="G15" s="19">
        <v>300.50110000000001</v>
      </c>
      <c r="H15" s="19">
        <v>312.08492000000001</v>
      </c>
      <c r="I15" s="19">
        <v>297.63583999999997</v>
      </c>
      <c r="J15" s="28"/>
      <c r="K15" s="28"/>
      <c r="L15" s="28"/>
      <c r="M15" s="28"/>
      <c r="N15" s="28"/>
      <c r="O15" s="29"/>
    </row>
    <row r="16" spans="1:15" ht="16" thickBot="1">
      <c r="A16" s="23" t="s">
        <v>31</v>
      </c>
      <c r="B16" s="19">
        <v>190.97369</v>
      </c>
      <c r="C16" s="19">
        <v>194.52145999999999</v>
      </c>
      <c r="D16" s="19">
        <v>201.24955</v>
      </c>
      <c r="E16" s="19">
        <v>193.56603999999999</v>
      </c>
      <c r="F16" s="19">
        <v>191.47545</v>
      </c>
      <c r="G16" s="19">
        <v>187.57389000000001</v>
      </c>
      <c r="H16" s="19">
        <v>201.72164000000001</v>
      </c>
      <c r="I16" s="19">
        <v>187.58011999999999</v>
      </c>
      <c r="J16" s="28"/>
      <c r="K16" s="28"/>
      <c r="L16" s="28"/>
      <c r="M16" s="28"/>
      <c r="N16" s="28"/>
      <c r="O16" s="29"/>
    </row>
    <row r="17" spans="1:15" ht="16" thickBot="1">
      <c r="A17" s="23" t="s">
        <v>33</v>
      </c>
      <c r="B17" s="19">
        <v>93.568870000000004</v>
      </c>
      <c r="C17" s="19">
        <v>92.353129999999993</v>
      </c>
      <c r="D17" s="19">
        <v>94.806730000000002</v>
      </c>
      <c r="E17" s="19">
        <v>90.905460000000005</v>
      </c>
      <c r="F17" s="19">
        <v>86.012429999999995</v>
      </c>
      <c r="G17" s="19">
        <v>84.594279999999998</v>
      </c>
      <c r="H17" s="19">
        <v>89.065039999999996</v>
      </c>
      <c r="I17" s="19">
        <v>84.519990000000007</v>
      </c>
      <c r="J17" s="28"/>
      <c r="K17" s="28"/>
      <c r="L17" s="28"/>
      <c r="M17" s="28"/>
      <c r="N17" s="28"/>
      <c r="O17" s="29"/>
    </row>
    <row r="18" spans="1:15" ht="16" thickBot="1">
      <c r="A18" s="23" t="s">
        <v>35</v>
      </c>
      <c r="B18" s="19">
        <v>78.242279999999994</v>
      </c>
      <c r="C18" s="19">
        <v>79.852189999999993</v>
      </c>
      <c r="D18" s="19">
        <v>81.655779999999993</v>
      </c>
      <c r="E18" s="19">
        <v>80.004810000000006</v>
      </c>
      <c r="F18" s="19">
        <v>77.180070000000001</v>
      </c>
      <c r="G18" s="19">
        <v>74.064120000000003</v>
      </c>
      <c r="H18" s="19">
        <v>76.552880000000002</v>
      </c>
      <c r="I18" s="19">
        <v>73.241500000000002</v>
      </c>
      <c r="J18" s="28"/>
      <c r="K18" s="28"/>
      <c r="L18" s="28"/>
      <c r="M18" s="28"/>
      <c r="N18" s="28"/>
      <c r="O18" s="29"/>
    </row>
    <row r="19" spans="1:15" ht="16" thickBot="1">
      <c r="A19" s="23" t="s">
        <v>37</v>
      </c>
      <c r="B19" s="19">
        <v>145.79034999999999</v>
      </c>
      <c r="C19" s="19">
        <v>144.25140999999999</v>
      </c>
      <c r="D19" s="19">
        <v>148.91313</v>
      </c>
      <c r="E19" s="19">
        <v>147.80951999999999</v>
      </c>
      <c r="F19" s="19">
        <v>144.63972999999999</v>
      </c>
      <c r="G19" s="19">
        <v>135.47852</v>
      </c>
      <c r="H19" s="19">
        <v>141.12307000000001</v>
      </c>
      <c r="I19" s="19">
        <v>133.04397</v>
      </c>
      <c r="J19" s="28"/>
      <c r="K19" s="28"/>
      <c r="L19" s="28"/>
      <c r="M19" s="28"/>
      <c r="N19" s="28"/>
      <c r="O19" s="29"/>
    </row>
    <row r="20" spans="1:15" ht="16" thickBot="1">
      <c r="A20" s="23" t="s">
        <v>39</v>
      </c>
      <c r="B20" s="19">
        <v>129.65411</v>
      </c>
      <c r="C20" s="19">
        <v>125.82984999999999</v>
      </c>
      <c r="D20" s="19">
        <v>125.2578</v>
      </c>
      <c r="E20" s="19">
        <v>127.08192</v>
      </c>
      <c r="F20" s="19">
        <v>125.32239</v>
      </c>
      <c r="G20" s="19">
        <v>120.61736000000001</v>
      </c>
      <c r="H20" s="19">
        <v>121.05543</v>
      </c>
      <c r="I20" s="19">
        <v>117.28128</v>
      </c>
      <c r="J20" s="28"/>
      <c r="K20" s="28"/>
      <c r="L20" s="28"/>
      <c r="M20" s="28"/>
      <c r="N20" s="28"/>
      <c r="O20" s="29"/>
    </row>
    <row r="21" spans="1:15" ht="16" thickBot="1">
      <c r="A21" s="23" t="s">
        <v>41</v>
      </c>
      <c r="B21" s="19">
        <v>28.838709999999999</v>
      </c>
      <c r="C21" s="19">
        <v>29.886700000000001</v>
      </c>
      <c r="D21" s="19">
        <v>30.399840000000001</v>
      </c>
      <c r="E21" s="19">
        <v>30.927630000000001</v>
      </c>
      <c r="F21" s="19">
        <v>30.23799</v>
      </c>
      <c r="G21" s="19">
        <v>29.762160000000002</v>
      </c>
      <c r="H21" s="19">
        <v>29.585560000000001</v>
      </c>
      <c r="I21" s="19">
        <v>28.983720000000002</v>
      </c>
      <c r="J21" s="28"/>
      <c r="K21" s="28"/>
      <c r="L21" s="28"/>
      <c r="M21" s="28"/>
      <c r="N21" s="28"/>
      <c r="O21" s="29"/>
    </row>
    <row r="22" spans="1:15" ht="16" thickBot="1">
      <c r="A22" s="23" t="s">
        <v>43</v>
      </c>
      <c r="B22" s="19">
        <v>138.39005</v>
      </c>
      <c r="C22" s="19">
        <v>138.27403000000001</v>
      </c>
      <c r="D22" s="19">
        <v>140.39697000000001</v>
      </c>
      <c r="E22" s="19">
        <v>138.02583999999999</v>
      </c>
      <c r="F22" s="19">
        <v>135.68862999999999</v>
      </c>
      <c r="G22" s="19">
        <v>141.38346000000001</v>
      </c>
      <c r="H22" s="19">
        <v>133.31949</v>
      </c>
      <c r="I22" s="19">
        <v>139.71648999999999</v>
      </c>
      <c r="J22" s="28"/>
      <c r="K22" s="28"/>
      <c r="L22" s="28"/>
      <c r="M22" s="28"/>
      <c r="N22" s="28"/>
      <c r="O22" s="29"/>
    </row>
    <row r="23" spans="1:15" ht="16" thickBot="1">
      <c r="A23" s="23" t="s">
        <v>45</v>
      </c>
      <c r="B23" s="20">
        <v>158.721</v>
      </c>
      <c r="C23" s="20">
        <v>162.01520079299999</v>
      </c>
      <c r="D23" s="20">
        <v>165.616276078</v>
      </c>
      <c r="E23" s="20">
        <v>165.47751212599999</v>
      </c>
      <c r="F23" s="20">
        <v>164.12327214800001</v>
      </c>
      <c r="G23" s="20">
        <v>160.985677404</v>
      </c>
      <c r="H23" s="20">
        <v>163.92680314699999</v>
      </c>
      <c r="I23" s="20">
        <v>160.89643506799999</v>
      </c>
      <c r="J23" s="28"/>
      <c r="K23" s="28"/>
      <c r="L23" s="28"/>
      <c r="M23" s="28"/>
      <c r="N23" s="28"/>
      <c r="O23" s="29"/>
    </row>
    <row r="24" spans="1:15" ht="16" thickBot="1">
      <c r="A24" s="23" t="s">
        <v>47</v>
      </c>
      <c r="B24" s="19">
        <v>248.71366</v>
      </c>
      <c r="C24" s="19">
        <v>261.14688999999998</v>
      </c>
      <c r="D24" s="19">
        <v>268.55630000000002</v>
      </c>
      <c r="E24" s="19">
        <v>272.62383999999997</v>
      </c>
      <c r="F24" s="19">
        <v>269.07729999999998</v>
      </c>
      <c r="G24" s="19">
        <v>265.76150999999999</v>
      </c>
      <c r="H24" s="19">
        <v>273.56339000000003</v>
      </c>
      <c r="I24" s="19">
        <v>263.05856999999997</v>
      </c>
      <c r="J24" s="28"/>
      <c r="K24" s="28"/>
      <c r="L24" s="28"/>
      <c r="M24" s="28"/>
      <c r="N24" s="28"/>
      <c r="O24" s="29"/>
    </row>
    <row r="25" spans="1:15" ht="16" thickBot="1">
      <c r="A25" s="23" t="s">
        <v>49</v>
      </c>
      <c r="B25" s="19">
        <v>134.26215999999999</v>
      </c>
      <c r="C25" s="19">
        <v>138.04560000000001</v>
      </c>
      <c r="D25" s="19">
        <v>144.44301999999999</v>
      </c>
      <c r="E25" s="19">
        <v>141.06630999999999</v>
      </c>
      <c r="F25" s="19">
        <v>141.56881000000001</v>
      </c>
      <c r="G25" s="19">
        <v>138.7517</v>
      </c>
      <c r="H25" s="19">
        <v>143.82552999999999</v>
      </c>
      <c r="I25" s="19">
        <v>139.05444</v>
      </c>
      <c r="J25" s="28"/>
      <c r="K25" s="28"/>
      <c r="L25" s="28"/>
      <c r="M25" s="28"/>
      <c r="N25" s="28"/>
      <c r="O25" s="29"/>
    </row>
    <row r="26" spans="1:15" ht="16" thickBot="1">
      <c r="A26" s="23" t="s">
        <v>51</v>
      </c>
      <c r="B26" s="19">
        <v>64.821950000000001</v>
      </c>
      <c r="C26" s="19">
        <v>64.123199999999997</v>
      </c>
      <c r="D26" s="19">
        <v>65.895430000000005</v>
      </c>
      <c r="E26" s="19">
        <v>66.382339999999999</v>
      </c>
      <c r="F26" s="19">
        <v>66.754310000000004</v>
      </c>
      <c r="G26" s="19">
        <v>63.465179999999997</v>
      </c>
      <c r="H26" s="19">
        <v>65.74239</v>
      </c>
      <c r="I26" s="19">
        <v>62.707369999999997</v>
      </c>
      <c r="J26" s="28"/>
      <c r="K26" s="28"/>
      <c r="L26" s="28"/>
      <c r="M26" s="28"/>
      <c r="N26" s="28"/>
      <c r="O26" s="29"/>
    </row>
    <row r="27" spans="1:15" ht="16" thickBot="1">
      <c r="A27" s="23" t="s">
        <v>53</v>
      </c>
      <c r="B27" s="19">
        <v>177.33977999999999</v>
      </c>
      <c r="C27" s="19">
        <v>179.10862</v>
      </c>
      <c r="D27" s="19">
        <v>179.24173999999999</v>
      </c>
      <c r="E27" s="19">
        <v>174.9049</v>
      </c>
      <c r="F27" s="19">
        <v>169.80681999999999</v>
      </c>
      <c r="G27" s="19">
        <v>171.91794999999999</v>
      </c>
      <c r="H27" s="19">
        <v>173.79055</v>
      </c>
      <c r="I27" s="19">
        <v>168.38830999999999</v>
      </c>
      <c r="J27" s="28"/>
      <c r="K27" s="28"/>
      <c r="L27" s="28"/>
      <c r="M27" s="28"/>
      <c r="N27" s="28"/>
      <c r="O27" s="29"/>
    </row>
    <row r="28" spans="1:15" ht="16" thickBot="1">
      <c r="A28" s="23" t="s">
        <v>55</v>
      </c>
      <c r="B28" s="19">
        <v>33.689410000000002</v>
      </c>
      <c r="C28" s="19">
        <v>34.52899</v>
      </c>
      <c r="D28" s="19">
        <v>35.575510000000001</v>
      </c>
      <c r="E28" s="19">
        <v>36.012149999999998</v>
      </c>
      <c r="F28" s="19">
        <v>34.616199999999999</v>
      </c>
      <c r="G28" s="19">
        <v>34.551299999999998</v>
      </c>
      <c r="H28" s="19">
        <v>35.568469999999998</v>
      </c>
      <c r="I28" s="19">
        <v>36.196359999999999</v>
      </c>
      <c r="J28" s="28"/>
      <c r="K28" s="28"/>
      <c r="L28" s="28"/>
      <c r="M28" s="28"/>
      <c r="N28" s="28"/>
      <c r="O28" s="29"/>
    </row>
    <row r="29" spans="1:15" ht="16" thickBot="1">
      <c r="A29" s="23" t="s">
        <v>57</v>
      </c>
      <c r="B29" s="19">
        <v>52.828150000000001</v>
      </c>
      <c r="C29" s="19">
        <v>56.790909999999997</v>
      </c>
      <c r="D29" s="19">
        <v>57.183309999999999</v>
      </c>
      <c r="E29" s="19">
        <v>54.332740000000001</v>
      </c>
      <c r="F29" s="19">
        <v>50.503740000000001</v>
      </c>
      <c r="G29" s="19">
        <v>50.198239999999998</v>
      </c>
      <c r="H29" s="19">
        <v>53.091729999999998</v>
      </c>
      <c r="I29" s="19">
        <v>53.081690000000002</v>
      </c>
      <c r="J29" s="28"/>
      <c r="K29" s="28"/>
      <c r="L29" s="28"/>
      <c r="M29" s="28"/>
      <c r="N29" s="28"/>
      <c r="O29" s="29"/>
    </row>
    <row r="30" spans="1:15" ht="16" thickBot="1">
      <c r="A30" s="23" t="s">
        <v>59</v>
      </c>
      <c r="B30" s="19">
        <v>59.531320000000001</v>
      </c>
      <c r="C30" s="19">
        <v>60.387729999999998</v>
      </c>
      <c r="D30" s="19">
        <v>61.258150000000001</v>
      </c>
      <c r="E30" s="19">
        <v>61.235860000000002</v>
      </c>
      <c r="F30" s="19">
        <v>62.719720000000002</v>
      </c>
      <c r="G30" s="19">
        <v>63.207889999999999</v>
      </c>
      <c r="H30" s="19">
        <v>66.189260000000004</v>
      </c>
      <c r="I30" s="19">
        <v>66.344629999999995</v>
      </c>
      <c r="J30" s="28"/>
      <c r="K30" s="28"/>
      <c r="L30" s="28"/>
      <c r="M30" s="28"/>
      <c r="N30" s="28"/>
      <c r="O30" s="29"/>
    </row>
    <row r="31" spans="1:15" ht="16" thickBot="1">
      <c r="A31" s="23" t="s">
        <v>61</v>
      </c>
      <c r="B31" s="20">
        <v>33.260615866000002</v>
      </c>
      <c r="C31" s="20">
        <v>33.997563749000001</v>
      </c>
      <c r="D31" s="20">
        <v>34.633748787000002</v>
      </c>
      <c r="E31" s="20">
        <v>34.861192097</v>
      </c>
      <c r="F31" s="20">
        <v>34.067841111</v>
      </c>
      <c r="G31" s="20">
        <v>33.475994868000001</v>
      </c>
      <c r="H31" s="20">
        <v>34.741296779999999</v>
      </c>
      <c r="I31" s="20">
        <v>33.755551871999998</v>
      </c>
      <c r="J31" s="28"/>
      <c r="K31" s="28"/>
      <c r="L31" s="28"/>
      <c r="M31" s="28"/>
      <c r="N31" s="28"/>
      <c r="O31" s="29"/>
    </row>
    <row r="32" spans="1:15" ht="16" thickBot="1">
      <c r="A32" s="23" t="s">
        <v>63</v>
      </c>
      <c r="B32" s="20">
        <v>216.0455</v>
      </c>
      <c r="C32" s="20">
        <v>221.40940000000001</v>
      </c>
      <c r="D32" s="20">
        <v>227.99270000000001</v>
      </c>
      <c r="E32" s="20">
        <v>224.68430000000001</v>
      </c>
      <c r="F32" s="20">
        <v>219.648</v>
      </c>
      <c r="G32" s="20">
        <v>211.19560000000001</v>
      </c>
      <c r="H32" s="20">
        <v>214.92240000000001</v>
      </c>
      <c r="I32" s="20">
        <v>208.60720000000001</v>
      </c>
      <c r="J32" s="28"/>
      <c r="K32" s="28"/>
      <c r="L32" s="28"/>
      <c r="M32" s="28"/>
      <c r="N32" s="28"/>
      <c r="O32" s="29"/>
    </row>
    <row r="33" spans="1:15" ht="16" thickBot="1">
      <c r="A33" s="23" t="s">
        <v>65</v>
      </c>
      <c r="B33" s="19">
        <v>55.30227</v>
      </c>
      <c r="C33" s="19">
        <v>55.386850000000003</v>
      </c>
      <c r="D33" s="19">
        <v>55.047989999999999</v>
      </c>
      <c r="E33" s="19">
        <v>56.342579999999998</v>
      </c>
      <c r="F33" s="19">
        <v>54.206789999999998</v>
      </c>
      <c r="G33" s="19">
        <v>52.478290000000001</v>
      </c>
      <c r="H33" s="19">
        <v>53.131019999999999</v>
      </c>
      <c r="I33" s="19">
        <v>51.062899999999999</v>
      </c>
      <c r="J33" s="28"/>
      <c r="K33" s="28"/>
      <c r="L33" s="28"/>
      <c r="M33" s="28"/>
      <c r="N33" s="28"/>
      <c r="O33" s="29"/>
    </row>
    <row r="34" spans="1:15" ht="16" thickBot="1">
      <c r="A34" s="23" t="s">
        <v>67</v>
      </c>
      <c r="B34" s="19">
        <v>437.95587999999998</v>
      </c>
      <c r="C34" s="19">
        <v>448.68997000000002</v>
      </c>
      <c r="D34" s="19">
        <v>457.61495000000002</v>
      </c>
      <c r="E34" s="19">
        <v>457.79710999999998</v>
      </c>
      <c r="F34" s="19">
        <v>447.0446</v>
      </c>
      <c r="G34" s="19">
        <v>437.57931000000002</v>
      </c>
      <c r="H34" s="19">
        <v>454.73129</v>
      </c>
      <c r="I34" s="19">
        <v>467.27411000000001</v>
      </c>
      <c r="J34" s="28"/>
      <c r="K34" s="28"/>
      <c r="L34" s="28"/>
      <c r="M34" s="28"/>
      <c r="N34" s="28"/>
      <c r="O34" s="29"/>
    </row>
    <row r="35" spans="1:15" ht="16" thickBot="1">
      <c r="A35" s="23" t="s">
        <v>69</v>
      </c>
      <c r="B35" s="19">
        <v>207.96655000000001</v>
      </c>
      <c r="C35" s="19">
        <v>211.81217000000001</v>
      </c>
      <c r="D35" s="19">
        <v>216.48420999999999</v>
      </c>
      <c r="E35" s="19">
        <v>212.64492000000001</v>
      </c>
      <c r="F35" s="19">
        <v>212.94247999999999</v>
      </c>
      <c r="G35" s="19">
        <v>207.32459</v>
      </c>
      <c r="H35" s="19">
        <v>216.69295</v>
      </c>
      <c r="I35" s="19">
        <v>212.97981999999999</v>
      </c>
      <c r="J35" s="28"/>
      <c r="K35" s="28"/>
      <c r="L35" s="28"/>
      <c r="M35" s="28"/>
      <c r="N35" s="28"/>
      <c r="O35" s="29"/>
    </row>
    <row r="36" spans="1:15" ht="16" thickBot="1">
      <c r="A36" s="23" t="s">
        <v>71</v>
      </c>
      <c r="B36" s="19">
        <v>30.833690000000001</v>
      </c>
      <c r="C36" s="19">
        <v>32.85765</v>
      </c>
      <c r="D36" s="19">
        <v>34.566079999999999</v>
      </c>
      <c r="E36" s="19">
        <v>33.419499999999999</v>
      </c>
      <c r="F36" s="19">
        <v>28.703790000000001</v>
      </c>
      <c r="G36" s="19">
        <v>28.699339999999999</v>
      </c>
      <c r="H36" s="19">
        <v>30.263940000000002</v>
      </c>
      <c r="I36" s="19">
        <v>29.955549999999999</v>
      </c>
      <c r="J36" s="28"/>
      <c r="K36" s="28"/>
      <c r="L36" s="28"/>
      <c r="M36" s="28"/>
      <c r="N36" s="28"/>
      <c r="O36" s="29"/>
    </row>
    <row r="37" spans="1:15" ht="16" thickBot="1">
      <c r="A37" s="23" t="s">
        <v>73</v>
      </c>
      <c r="B37" s="19">
        <v>288.55684000000002</v>
      </c>
      <c r="C37" s="19">
        <v>308.62195000000003</v>
      </c>
      <c r="D37" s="19">
        <v>305.16982999999999</v>
      </c>
      <c r="E37" s="19">
        <v>295.50727999999998</v>
      </c>
      <c r="F37" s="19">
        <v>290.68439000000001</v>
      </c>
      <c r="G37" s="19">
        <v>285.98932000000002</v>
      </c>
      <c r="H37" s="19">
        <v>292.48275999999998</v>
      </c>
      <c r="I37" s="19">
        <v>275.14370000000002</v>
      </c>
      <c r="J37" s="28"/>
      <c r="K37" s="28"/>
      <c r="L37" s="28"/>
      <c r="M37" s="28"/>
      <c r="N37" s="28"/>
      <c r="O37" s="29"/>
    </row>
    <row r="38" spans="1:15" ht="16" thickBot="1">
      <c r="A38" s="23" t="s">
        <v>75</v>
      </c>
      <c r="B38" s="19">
        <v>104.4213</v>
      </c>
      <c r="C38" s="19">
        <v>107.33579</v>
      </c>
      <c r="D38" s="19">
        <v>108.12374</v>
      </c>
      <c r="E38" s="19">
        <v>106.20142</v>
      </c>
      <c r="F38" s="19">
        <v>102.60557</v>
      </c>
      <c r="G38" s="19">
        <v>100.29076000000001</v>
      </c>
      <c r="H38" s="19">
        <v>105.56140000000001</v>
      </c>
      <c r="I38" s="19">
        <v>98.936440000000005</v>
      </c>
      <c r="J38" s="28"/>
      <c r="K38" s="28"/>
      <c r="L38" s="28"/>
      <c r="M38" s="28"/>
      <c r="N38" s="28"/>
      <c r="O38" s="29"/>
    </row>
    <row r="39" spans="1:15" ht="16" thickBot="1">
      <c r="A39" s="23" t="s">
        <v>77</v>
      </c>
      <c r="B39" s="19">
        <v>72.832729999999998</v>
      </c>
      <c r="C39" s="19">
        <v>76.128619999999998</v>
      </c>
      <c r="D39" s="19">
        <v>78.064089999999993</v>
      </c>
      <c r="E39" s="19">
        <v>80.429910000000007</v>
      </c>
      <c r="F39" s="19">
        <v>80.568650000000005</v>
      </c>
      <c r="G39" s="19">
        <v>80.939859999999996</v>
      </c>
      <c r="H39" s="19">
        <v>85.180189999999996</v>
      </c>
      <c r="I39" s="19">
        <v>85.829250000000002</v>
      </c>
      <c r="J39" s="28"/>
      <c r="K39" s="28"/>
      <c r="L39" s="28"/>
      <c r="M39" s="28"/>
      <c r="N39" s="28"/>
      <c r="O39" s="29"/>
    </row>
    <row r="40" spans="1:15" ht="16" thickBot="1">
      <c r="A40" s="23" t="s">
        <v>79</v>
      </c>
      <c r="B40" s="19">
        <v>345.81844000000001</v>
      </c>
      <c r="C40" s="19">
        <v>353.98527000000001</v>
      </c>
      <c r="D40" s="19">
        <v>352.81781999999998</v>
      </c>
      <c r="E40" s="19">
        <v>345.28469999999999</v>
      </c>
      <c r="F40" s="19">
        <v>336.53717</v>
      </c>
      <c r="G40" s="19">
        <v>333.83774</v>
      </c>
      <c r="H40" s="19">
        <v>346.78964999999999</v>
      </c>
      <c r="I40" s="19">
        <v>340.83411999999998</v>
      </c>
      <c r="J40" s="28"/>
      <c r="K40" s="28"/>
      <c r="L40" s="28"/>
      <c r="M40" s="28"/>
      <c r="N40" s="28"/>
      <c r="O40" s="29"/>
    </row>
    <row r="41" spans="1:15" ht="16" thickBot="1">
      <c r="A41" s="23" t="s">
        <v>81</v>
      </c>
      <c r="B41" s="20">
        <v>22.294540000000001</v>
      </c>
      <c r="C41" s="20">
        <v>22.716339999999999</v>
      </c>
      <c r="D41" s="20">
        <v>23.283560000000001</v>
      </c>
      <c r="E41" s="20">
        <v>23.331410000000002</v>
      </c>
      <c r="F41" s="20">
        <v>22.588950000000001</v>
      </c>
      <c r="G41" s="20">
        <v>22.162849999999999</v>
      </c>
      <c r="H41" s="20">
        <v>23.698139999999999</v>
      </c>
      <c r="I41" s="20">
        <v>22.99062</v>
      </c>
      <c r="J41" s="28"/>
      <c r="K41" s="28"/>
      <c r="L41" s="28"/>
      <c r="M41" s="28"/>
      <c r="N41" s="28"/>
      <c r="O41" s="29"/>
    </row>
    <row r="42" spans="1:15" ht="16" thickBot="1">
      <c r="A42" s="23" t="s">
        <v>83</v>
      </c>
      <c r="B42" s="19">
        <v>104.89276</v>
      </c>
      <c r="C42" s="19">
        <v>105.78054</v>
      </c>
      <c r="D42" s="19">
        <v>111.34703</v>
      </c>
      <c r="E42" s="19">
        <v>110.09863</v>
      </c>
      <c r="F42" s="19">
        <v>111.19172</v>
      </c>
      <c r="G42" s="19">
        <v>107.32468</v>
      </c>
      <c r="H42" s="19">
        <v>112.34507000000001</v>
      </c>
      <c r="I42" s="19">
        <v>111.0565</v>
      </c>
      <c r="J42" s="28"/>
      <c r="K42" s="28"/>
      <c r="L42" s="28"/>
      <c r="M42" s="28"/>
      <c r="N42" s="28"/>
      <c r="O42" s="29"/>
    </row>
    <row r="43" spans="1:15" ht="16" thickBot="1">
      <c r="A43" s="23" t="s">
        <v>85</v>
      </c>
      <c r="B43" s="19">
        <v>18.464189999999999</v>
      </c>
      <c r="C43" s="19">
        <v>19.333939999999998</v>
      </c>
      <c r="D43" s="19">
        <v>19.452210000000001</v>
      </c>
      <c r="E43" s="19">
        <v>19.190079999999998</v>
      </c>
      <c r="F43" s="19">
        <v>19.348960000000002</v>
      </c>
      <c r="G43" s="19">
        <v>18.692720000000001</v>
      </c>
      <c r="H43" s="19">
        <v>19.300979999999999</v>
      </c>
      <c r="I43" s="19">
        <v>19.18318</v>
      </c>
      <c r="J43" s="28"/>
      <c r="K43" s="28"/>
      <c r="L43" s="28"/>
      <c r="M43" s="28"/>
      <c r="N43" s="28"/>
      <c r="O43" s="29"/>
    </row>
    <row r="44" spans="1:15" ht="16" thickBot="1">
      <c r="A44" s="23" t="s">
        <v>87</v>
      </c>
      <c r="B44" s="19">
        <v>147.74966000000001</v>
      </c>
      <c r="C44" s="19">
        <v>146.77727999999999</v>
      </c>
      <c r="D44" s="19">
        <v>153.86152000000001</v>
      </c>
      <c r="E44" s="19">
        <v>151.21991</v>
      </c>
      <c r="F44" s="19">
        <v>155.47336000000001</v>
      </c>
      <c r="G44" s="19">
        <v>149.50861</v>
      </c>
      <c r="H44" s="19">
        <v>151.06728000000001</v>
      </c>
      <c r="I44" s="19">
        <v>147.99195</v>
      </c>
      <c r="J44" s="28"/>
      <c r="K44" s="28"/>
      <c r="L44" s="28"/>
      <c r="M44" s="28"/>
      <c r="N44" s="28"/>
      <c r="O44" s="29"/>
    </row>
    <row r="45" spans="1:15" ht="16" thickBot="1">
      <c r="A45" s="23" t="s">
        <v>89</v>
      </c>
      <c r="B45" s="19">
        <v>699.5181</v>
      </c>
      <c r="C45" s="19">
        <v>751.16710999999998</v>
      </c>
      <c r="D45" s="19">
        <v>752.19177000000002</v>
      </c>
      <c r="E45" s="19">
        <v>740.92798000000005</v>
      </c>
      <c r="F45" s="19">
        <v>732.64460999999994</v>
      </c>
      <c r="G45" s="19">
        <v>725.45947000000001</v>
      </c>
      <c r="H45" s="19">
        <v>743.82218999999998</v>
      </c>
      <c r="I45" s="19">
        <v>745.13820999999996</v>
      </c>
      <c r="J45" s="28"/>
      <c r="K45" s="28"/>
      <c r="L45" s="28"/>
      <c r="M45" s="28"/>
      <c r="N45" s="28"/>
      <c r="O45" s="29"/>
    </row>
    <row r="46" spans="1:15" ht="16" thickBot="1">
      <c r="A46" s="23" t="s">
        <v>91</v>
      </c>
      <c r="B46" s="19">
        <v>75.761250000000004</v>
      </c>
      <c r="C46" s="19">
        <v>78.990979999999993</v>
      </c>
      <c r="D46" s="19">
        <v>79.796449999999993</v>
      </c>
      <c r="E46" s="19">
        <v>80.448790000000002</v>
      </c>
      <c r="F46" s="19">
        <v>78.056070000000005</v>
      </c>
      <c r="G46" s="19">
        <v>77.426879999999997</v>
      </c>
      <c r="H46" s="19">
        <v>80.543539999999993</v>
      </c>
      <c r="I46" s="19">
        <v>80.643950000000004</v>
      </c>
      <c r="J46" s="28"/>
      <c r="K46" s="28"/>
      <c r="L46" s="28"/>
      <c r="M46" s="28"/>
      <c r="N46" s="28"/>
      <c r="O46" s="29"/>
    </row>
    <row r="47" spans="1:15" ht="16" thickBot="1">
      <c r="A47" s="23" t="s">
        <v>93</v>
      </c>
      <c r="B47" s="19">
        <v>13.87288</v>
      </c>
      <c r="C47" s="19">
        <v>13.86956</v>
      </c>
      <c r="D47" s="19">
        <v>13.894600000000001</v>
      </c>
      <c r="E47" s="19">
        <v>14.335509999999999</v>
      </c>
      <c r="F47" s="19">
        <v>14.04391</v>
      </c>
      <c r="G47" s="19">
        <v>13.74048</v>
      </c>
      <c r="H47" s="19">
        <v>14.218719999999999</v>
      </c>
      <c r="I47" s="19">
        <v>14.03581</v>
      </c>
      <c r="J47" s="28"/>
      <c r="K47" s="28"/>
      <c r="L47" s="28"/>
      <c r="M47" s="28"/>
      <c r="N47" s="28"/>
      <c r="O47" s="29"/>
    </row>
    <row r="48" spans="1:15" ht="16" thickBot="1">
      <c r="A48" s="23" t="s">
        <v>95</v>
      </c>
      <c r="B48" s="19">
        <v>209.89807999999999</v>
      </c>
      <c r="C48" s="19">
        <v>207.97818000000001</v>
      </c>
      <c r="D48" s="19">
        <v>225.55270999999999</v>
      </c>
      <c r="E48" s="19">
        <v>236.72669999999999</v>
      </c>
      <c r="F48" s="19">
        <v>221.47834</v>
      </c>
      <c r="G48" s="19">
        <v>198.47812999999999</v>
      </c>
      <c r="H48" s="19">
        <v>240.41694000000001</v>
      </c>
      <c r="I48" s="19">
        <v>191.81720999999999</v>
      </c>
      <c r="J48" s="28"/>
      <c r="K48" s="28"/>
      <c r="L48" s="28"/>
      <c r="M48" s="28"/>
      <c r="N48" s="28"/>
      <c r="O48" s="29"/>
    </row>
    <row r="49" spans="1:15" ht="16" thickBot="1">
      <c r="A49" s="23" t="s">
        <v>97</v>
      </c>
      <c r="B49" s="19">
        <v>144.17884000000001</v>
      </c>
      <c r="C49" s="19">
        <v>151.62010000000001</v>
      </c>
      <c r="D49" s="19">
        <v>158.19703999999999</v>
      </c>
      <c r="E49" s="19">
        <v>154.60145</v>
      </c>
      <c r="F49" s="19">
        <v>154.08217999999999</v>
      </c>
      <c r="G49" s="19">
        <v>156.65688</v>
      </c>
      <c r="H49" s="19">
        <v>162.01691</v>
      </c>
      <c r="I49" s="19">
        <v>163.17017000000001</v>
      </c>
      <c r="J49" s="28"/>
      <c r="K49" s="28"/>
      <c r="L49" s="28"/>
      <c r="M49" s="28"/>
      <c r="N49" s="28"/>
      <c r="O49" s="29"/>
    </row>
    <row r="50" spans="1:15" ht="16" thickBot="1">
      <c r="A50" s="23" t="s">
        <v>99</v>
      </c>
      <c r="B50" s="19">
        <v>58.090769999999999</v>
      </c>
      <c r="C50" s="19">
        <v>60.040610000000001</v>
      </c>
      <c r="D50" s="19">
        <v>62.512329999999999</v>
      </c>
      <c r="E50" s="19">
        <v>61.06653</v>
      </c>
      <c r="F50" s="19">
        <v>61.101790000000001</v>
      </c>
      <c r="G50" s="19">
        <v>58.699860000000001</v>
      </c>
      <c r="H50" s="19">
        <v>58.520910000000001</v>
      </c>
      <c r="I50" s="19">
        <v>60.011360000000003</v>
      </c>
      <c r="J50" s="28"/>
      <c r="K50" s="28"/>
      <c r="L50" s="28"/>
      <c r="M50" s="28"/>
      <c r="N50" s="28"/>
      <c r="O50" s="29"/>
    </row>
    <row r="51" spans="1:15" ht="16" thickBot="1">
      <c r="A51" s="23" t="s">
        <v>101</v>
      </c>
      <c r="B51" s="19">
        <v>138.39766</v>
      </c>
      <c r="C51" s="19">
        <v>146.82029</v>
      </c>
      <c r="D51" s="19">
        <v>146.21269000000001</v>
      </c>
      <c r="E51" s="19">
        <v>148.60937000000001</v>
      </c>
      <c r="F51" s="19">
        <v>146.30631</v>
      </c>
      <c r="G51" s="19">
        <v>147.82333</v>
      </c>
      <c r="H51" s="19">
        <v>151.31117</v>
      </c>
      <c r="I51" s="19">
        <v>144.67936</v>
      </c>
      <c r="J51" s="28"/>
      <c r="K51" s="28"/>
      <c r="L51" s="28"/>
      <c r="M51" s="28"/>
      <c r="N51" s="28"/>
      <c r="O51" s="29"/>
    </row>
    <row r="52" spans="1:15" ht="16" thickBot="1">
      <c r="A52" s="23" t="s">
        <v>103</v>
      </c>
      <c r="B52" s="19">
        <v>40.945999999999998</v>
      </c>
      <c r="C52" s="19">
        <v>41.830359999999999</v>
      </c>
      <c r="D52" s="19">
        <v>40.716610000000003</v>
      </c>
      <c r="E52" s="19">
        <v>40.59957</v>
      </c>
      <c r="F52" s="19">
        <v>36.748820000000002</v>
      </c>
      <c r="G52" s="19">
        <v>36.94144</v>
      </c>
      <c r="H52" s="19">
        <v>38.159680000000002</v>
      </c>
      <c r="I52" s="19">
        <v>35.666710000000002</v>
      </c>
    </row>
    <row r="53" spans="1:15" ht="16" thickBot="1">
      <c r="A53" s="27" t="s">
        <v>107</v>
      </c>
      <c r="B53" s="10">
        <f>SUM(B3:B52)</f>
        <v>7570.2939458659966</v>
      </c>
      <c r="C53" s="10">
        <f t="shared" ref="C53:I53" si="0">SUM(C3:C52)</f>
        <v>7705.3333745420005</v>
      </c>
      <c r="D53" s="10">
        <f t="shared" si="0"/>
        <v>7879.7862448649994</v>
      </c>
      <c r="E53" s="10">
        <f t="shared" si="0"/>
        <v>7822.5676742230007</v>
      </c>
      <c r="F53" s="10">
        <f t="shared" si="0"/>
        <v>7736.8961332589988</v>
      </c>
      <c r="G53" s="10">
        <f t="shared" si="0"/>
        <v>7598.1720122720008</v>
      </c>
      <c r="H53" s="10">
        <f t="shared" si="0"/>
        <v>7860.9048899270001</v>
      </c>
      <c r="I53" s="10">
        <f t="shared" si="0"/>
        <v>7668.0457269400003</v>
      </c>
      <c r="J53" s="29"/>
      <c r="K53" s="29"/>
      <c r="L53" s="29"/>
      <c r="M53" s="29"/>
      <c r="N53" s="29"/>
    </row>
    <row r="54" spans="1:15" ht="16" thickBot="1">
      <c r="A54" s="26"/>
      <c r="B54" s="12"/>
      <c r="C54" s="12"/>
      <c r="D54" s="12"/>
      <c r="E54" s="12"/>
      <c r="F54" s="12"/>
      <c r="G54" s="12"/>
      <c r="H54" s="12"/>
      <c r="I54" s="12"/>
      <c r="J54" s="28"/>
      <c r="K54" s="28"/>
      <c r="L54" s="28"/>
      <c r="M54" s="28"/>
      <c r="N54" s="28"/>
      <c r="O54" s="15"/>
    </row>
    <row r="55" spans="1:15" ht="16" thickBot="1">
      <c r="B55" t="s">
        <v>108</v>
      </c>
      <c r="J55" s="28"/>
      <c r="K55" s="28"/>
      <c r="L55" s="28"/>
      <c r="M55" s="28"/>
      <c r="N55" s="28"/>
      <c r="O55" s="15"/>
    </row>
    <row r="56" spans="1:15" ht="16" thickBot="1">
      <c r="J56" s="28"/>
      <c r="K56" s="28"/>
      <c r="L56" s="28"/>
      <c r="M56" s="28"/>
      <c r="N56" s="28"/>
      <c r="O56" s="15"/>
    </row>
    <row r="57" spans="1:15" ht="16" thickBot="1">
      <c r="J57" s="29"/>
      <c r="K57" s="29"/>
      <c r="L57" s="29"/>
      <c r="M57" s="29"/>
      <c r="N57" s="29"/>
    </row>
    <row r="59" spans="1:15">
      <c r="A59" s="22" t="s">
        <v>109</v>
      </c>
      <c r="B59" s="43">
        <v>35000.019999999997</v>
      </c>
      <c r="C59" s="43">
        <v>35301.654999999999</v>
      </c>
      <c r="D59" s="43">
        <v>35450.093999999997</v>
      </c>
      <c r="E59" s="43">
        <v>35404.9</v>
      </c>
      <c r="F59" s="43">
        <v>35416.658000000003</v>
      </c>
      <c r="G59" s="43">
        <v>35989.896999999997</v>
      </c>
      <c r="H59" s="43">
        <v>36730.425000000003</v>
      </c>
      <c r="I59" s="43">
        <v>37104.275000000001</v>
      </c>
    </row>
    <row r="60" spans="1:15">
      <c r="A60" s="22" t="s">
        <v>110</v>
      </c>
      <c r="B60" s="43">
        <f>B2/B59</f>
        <v>0.21144845060088538</v>
      </c>
      <c r="C60" s="43">
        <f t="shared" ref="C60:I60" si="1">C2/C59</f>
        <v>0.21344891620520343</v>
      </c>
      <c r="D60" s="43">
        <f t="shared" si="1"/>
        <v>0.21808686882466377</v>
      </c>
      <c r="E60" s="43">
        <f t="shared" si="1"/>
        <v>0.21711401529166865</v>
      </c>
      <c r="F60" s="43">
        <f t="shared" si="1"/>
        <v>0.2150456996817712</v>
      </c>
      <c r="G60" s="43">
        <f t="shared" si="1"/>
        <v>0.20764994131547532</v>
      </c>
      <c r="H60" s="43">
        <f t="shared" si="1"/>
        <v>0.2103324423825752</v>
      </c>
      <c r="I60" s="43">
        <f t="shared" si="1"/>
        <v>0.20348329134580853</v>
      </c>
    </row>
    <row r="61" spans="1:15">
      <c r="A61" s="22" t="s">
        <v>111</v>
      </c>
      <c r="B61" s="43">
        <f>'TE Total'!B2/'CBE Total'!B59</f>
        <v>0.19031146620201933</v>
      </c>
      <c r="C61" s="43">
        <f>'TE Total'!C2/'CBE Total'!C59</f>
        <v>0.193911675665631</v>
      </c>
      <c r="D61" s="43">
        <f>'TE Total'!D2/'CBE Total'!D59</f>
        <v>0.19480488097819967</v>
      </c>
      <c r="E61" s="43">
        <f>'TE Total'!E2/'CBE Total'!E59</f>
        <v>0.1902622739721338</v>
      </c>
      <c r="F61" s="43">
        <f>'TE Total'!F2/'CBE Total'!F59</f>
        <v>0.1857892964104346</v>
      </c>
      <c r="G61" s="43">
        <f>'TE Total'!G2/'CBE Total'!G59</f>
        <v>0.18202405930747734</v>
      </c>
      <c r="H61" s="43">
        <f>'TE Total'!H2/'CBE Total'!H59</f>
        <v>0.18384621801136222</v>
      </c>
      <c r="I61" s="43">
        <f>'TE Total'!I2/'CBE Total'!I59</f>
        <v>0.1776110412531979</v>
      </c>
    </row>
    <row r="62" spans="1:15">
      <c r="B62" s="43"/>
    </row>
    <row r="63" spans="1:15">
      <c r="B63" s="43"/>
      <c r="I63" s="43"/>
    </row>
    <row r="64" spans="1:15">
      <c r="B64" s="43"/>
    </row>
    <row r="65" spans="2:2">
      <c r="B65" s="43"/>
    </row>
    <row r="66" spans="2:2">
      <c r="B66" s="4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EAC9-9605-4BB6-A63F-6977BD137B8B}">
  <dimension ref="A1:I53"/>
  <sheetViews>
    <sheetView workbookViewId="0">
      <selection activeCell="J1" sqref="J1:P1048576"/>
    </sheetView>
  </sheetViews>
  <sheetFormatPr baseColWidth="10" defaultColWidth="8.83203125" defaultRowHeight="15"/>
  <cols>
    <col min="1" max="1" width="8.6640625" style="22"/>
    <col min="2" max="2" width="11.83203125" bestFit="1" customWidth="1"/>
    <col min="3" max="9" width="9.5" bestFit="1" customWidth="1"/>
  </cols>
  <sheetData>
    <row r="1" spans="1:9" s="11" customFormat="1">
      <c r="A1" s="24"/>
      <c r="B1" s="11">
        <f>'CBE Total'!B1</f>
        <v>2012</v>
      </c>
      <c r="C1" s="11">
        <f>'CBE Total'!C1</f>
        <v>2013</v>
      </c>
      <c r="D1" s="11">
        <f>'CBE Total'!D1</f>
        <v>2014</v>
      </c>
      <c r="E1" s="11">
        <f>'CBE Total'!E1</f>
        <v>2015</v>
      </c>
      <c r="F1" s="11">
        <f>'CBE Total'!F1</f>
        <v>2016</v>
      </c>
      <c r="G1" s="11">
        <f>'CBE Total'!G1</f>
        <v>2017</v>
      </c>
      <c r="H1" s="11">
        <f>'CBE Total'!H1</f>
        <v>2018</v>
      </c>
      <c r="I1" s="11">
        <f>'CBE Total'!I1</f>
        <v>2019</v>
      </c>
    </row>
    <row r="2" spans="1:9">
      <c r="A2" s="24" t="s">
        <v>2</v>
      </c>
      <c r="B2" s="10">
        <f>'CBE Total'!B2/Population!G2*1000000</f>
        <v>23.581801147171603</v>
      </c>
      <c r="C2" s="10">
        <f>'CBE Total'!C2/Population!H2*1000000</f>
        <v>23.845727437965024</v>
      </c>
      <c r="D2" s="10">
        <f>'CBE Total'!D2/Population!I2*1000000</f>
        <v>24.288958582248661</v>
      </c>
      <c r="E2" s="10">
        <f>'CBE Total'!E2/Population!J2*1000000</f>
        <v>23.973976927789419</v>
      </c>
      <c r="F2" s="10">
        <f>'CBE Total'!F2/Population!K2*1000000</f>
        <v>23.583851742027516</v>
      </c>
      <c r="G2" s="10">
        <f>'CBE Total'!G2/Population!L2*1000000</f>
        <v>22.995792437398269</v>
      </c>
      <c r="H2" s="10">
        <f>'CBE Total'!H2/Population!M2*1000000</f>
        <v>23.648287664363384</v>
      </c>
      <c r="I2" s="10">
        <f>'CBE Total'!I2/Population!N2*1000000</f>
        <v>23.001800426087019</v>
      </c>
    </row>
    <row r="3" spans="1:9" ht="16" thickBot="1">
      <c r="A3" s="23" t="s">
        <v>5</v>
      </c>
      <c r="B3" s="10">
        <f>'CBE Total'!B3/Population!G3*1000000</f>
        <v>24.774202028911112</v>
      </c>
      <c r="C3" s="10">
        <f>'CBE Total'!C3/Population!H3*1000000</f>
        <v>25.009746213365776</v>
      </c>
      <c r="D3" s="10">
        <f>'CBE Total'!D3/Population!I3*1000000</f>
        <v>25.470693847472809</v>
      </c>
      <c r="E3" s="10">
        <f>'CBE Total'!E3/Population!J3*1000000</f>
        <v>25.424074164522857</v>
      </c>
      <c r="F3" s="10">
        <f>'CBE Total'!F3/Population!K3*1000000</f>
        <v>24.427116134902157</v>
      </c>
      <c r="G3" s="10">
        <f>'CBE Total'!G3/Population!L3*1000000</f>
        <v>23.407487476628305</v>
      </c>
      <c r="H3" s="10">
        <f>'CBE Total'!H3/Population!M3*1000000</f>
        <v>24.412454495291325</v>
      </c>
      <c r="I3" s="10">
        <f>'CBE Total'!I3/Population!N3*1000000</f>
        <v>23.411931224296044</v>
      </c>
    </row>
    <row r="4" spans="1:9" ht="16" thickBot="1">
      <c r="A4" s="23" t="s">
        <v>7</v>
      </c>
      <c r="B4" s="10">
        <f>'CBE Total'!B4/Population!G4*1000000</f>
        <v>74.732881278895135</v>
      </c>
      <c r="C4" s="10">
        <f>'CBE Total'!C4/Population!H4*1000000</f>
        <v>46.506889459317186</v>
      </c>
      <c r="D4" s="10">
        <f>'CBE Total'!D4/Population!I4*1000000</f>
        <v>41.382620541286435</v>
      </c>
      <c r="E4" s="10">
        <f>'CBE Total'!E4/Population!J4*1000000</f>
        <v>47.052236073860534</v>
      </c>
      <c r="F4" s="10">
        <f>'CBE Total'!F4/Population!K4*1000000</f>
        <v>46.747494119678031</v>
      </c>
      <c r="G4" s="10">
        <f>'CBE Total'!G4/Population!L4*1000000</f>
        <v>40.642341489793154</v>
      </c>
      <c r="H4" s="10">
        <f>'CBE Total'!H4/Population!M4*1000000</f>
        <v>44.760215415043959</v>
      </c>
      <c r="I4" s="10">
        <f>'CBE Total'!I4/Population!N4*1000000</f>
        <v>54.246382655885824</v>
      </c>
    </row>
    <row r="5" spans="1:9" ht="16" thickBot="1">
      <c r="A5" s="23" t="s">
        <v>9</v>
      </c>
      <c r="B5" s="10">
        <f>'CBE Total'!B5/Population!G5*1000000</f>
        <v>22.102748476043704</v>
      </c>
      <c r="C5" s="10">
        <f>'CBE Total'!C5/Population!H5*1000000</f>
        <v>22.367872579214335</v>
      </c>
      <c r="D5" s="10">
        <f>'CBE Total'!D5/Population!I5*1000000</f>
        <v>22.375077131225083</v>
      </c>
      <c r="E5" s="10">
        <f>'CBE Total'!E5/Population!J5*1000000</f>
        <v>21.923953639967692</v>
      </c>
      <c r="F5" s="10">
        <f>'CBE Total'!F5/Population!K5*1000000</f>
        <v>21.006415147400865</v>
      </c>
      <c r="G5" s="10">
        <f>'CBE Total'!G5/Population!L5*1000000</f>
        <v>20.631548118627919</v>
      </c>
      <c r="H5" s="10">
        <f>'CBE Total'!H5/Population!M5*1000000</f>
        <v>21.382982230850303</v>
      </c>
      <c r="I5" s="10">
        <f>'CBE Total'!I5/Population!N5*1000000</f>
        <v>20.771635990243883</v>
      </c>
    </row>
    <row r="6" spans="1:9" ht="16" thickBot="1">
      <c r="A6" s="23" t="s">
        <v>11</v>
      </c>
      <c r="B6" s="10">
        <f>'CBE Total'!B6/Population!G6*1000000</f>
        <v>25.335096559676227</v>
      </c>
      <c r="C6" s="10">
        <f>'CBE Total'!C6/Population!H6*1000000</f>
        <v>25.093241873352707</v>
      </c>
      <c r="D6" s="10">
        <f>'CBE Total'!D6/Population!I6*1000000</f>
        <v>25.430465540110642</v>
      </c>
      <c r="E6" s="10">
        <f>'CBE Total'!E6/Population!J6*1000000</f>
        <v>24.109168153098945</v>
      </c>
      <c r="F6" s="10">
        <f>'CBE Total'!F6/Population!K6*1000000</f>
        <v>24.41987372228937</v>
      </c>
      <c r="G6" s="10">
        <f>'CBE Total'!G6/Population!L6*1000000</f>
        <v>24.118380259516986</v>
      </c>
      <c r="H6" s="10">
        <f>'CBE Total'!H6/Population!M6*1000000</f>
        <v>25.33296475135834</v>
      </c>
      <c r="I6" s="10">
        <f>'CBE Total'!I6/Population!N6*1000000</f>
        <v>23.756662129150865</v>
      </c>
    </row>
    <row r="7" spans="1:9" ht="16" thickBot="1">
      <c r="A7" s="23" t="s">
        <v>13</v>
      </c>
      <c r="B7" s="10">
        <f>'CBE Total'!B7/Population!G7*1000000</f>
        <v>19.218767918880175</v>
      </c>
      <c r="C7" s="10">
        <f>'CBE Total'!C7/Population!H7*1000000</f>
        <v>19.111924435846024</v>
      </c>
      <c r="D7" s="10">
        <f>'CBE Total'!D7/Population!I7*1000000</f>
        <v>19.349695359521984</v>
      </c>
      <c r="E7" s="10">
        <f>'CBE Total'!E7/Population!J7*1000000</f>
        <v>19.405337806665262</v>
      </c>
      <c r="F7" s="10">
        <f>'CBE Total'!F7/Population!K7*1000000</f>
        <v>19.559546340875691</v>
      </c>
      <c r="G7" s="10">
        <f>'CBE Total'!G7/Population!L7*1000000</f>
        <v>19.706481677895372</v>
      </c>
      <c r="H7" s="10">
        <f>'CBE Total'!H7/Population!M7*1000000</f>
        <v>19.920048326489038</v>
      </c>
      <c r="I7" s="10">
        <f>'CBE Total'!I7/Population!N7*1000000</f>
        <v>19.605448673439607</v>
      </c>
    </row>
    <row r="8" spans="1:9" ht="16" thickBot="1">
      <c r="A8" s="23" t="s">
        <v>15</v>
      </c>
      <c r="B8" s="10">
        <f>'CBE Total'!B8/Population!G8*1000000</f>
        <v>27.611767177703399</v>
      </c>
      <c r="C8" s="10">
        <f>'CBE Total'!C8/Population!H8*1000000</f>
        <v>27.99293988367889</v>
      </c>
      <c r="D8" s="10">
        <f>'CBE Total'!D8/Population!I8*1000000</f>
        <v>28.107037605458292</v>
      </c>
      <c r="E8" s="10">
        <f>'CBE Total'!E8/Population!J8*1000000</f>
        <v>28.015008559571999</v>
      </c>
      <c r="F8" s="10">
        <f>'CBE Total'!F8/Population!K8*1000000</f>
        <v>27.421683397376704</v>
      </c>
      <c r="G8" s="10">
        <f>'CBE Total'!G8/Population!L8*1000000</f>
        <v>27.672765924462102</v>
      </c>
      <c r="H8" s="10">
        <f>'CBE Total'!H8/Population!M8*1000000</f>
        <v>28.020915128687058</v>
      </c>
      <c r="I8" s="10">
        <f>'CBE Total'!I8/Population!N8*1000000</f>
        <v>27.576574095426498</v>
      </c>
    </row>
    <row r="9" spans="1:9" ht="16" thickBot="1">
      <c r="A9" s="23" t="s">
        <v>17</v>
      </c>
      <c r="B9" s="10">
        <f>'CBE Total'!B9/Population!G9*1000000</f>
        <v>21.460181213376817</v>
      </c>
      <c r="C9" s="10">
        <f>'CBE Total'!C9/Population!H9*1000000</f>
        <v>21.936555747528192</v>
      </c>
      <c r="D9" s="10">
        <f>'CBE Total'!D9/Population!I9*1000000</f>
        <v>22.63109941677952</v>
      </c>
      <c r="E9" s="10">
        <f>'CBE Total'!E9/Population!J9*1000000</f>
        <v>22.865796033700558</v>
      </c>
      <c r="F9" s="10">
        <f>'CBE Total'!F9/Population!K9*1000000</f>
        <v>22.334346242923349</v>
      </c>
      <c r="G9" s="10">
        <f>'CBE Total'!G9/Population!L9*1000000</f>
        <v>21.617044427037548</v>
      </c>
      <c r="H9" s="10">
        <f>'CBE Total'!H9/Population!M9*1000000</f>
        <v>22.677621852880563</v>
      </c>
      <c r="I9" s="10">
        <f>'CBE Total'!I9/Population!N9*1000000</f>
        <v>21.964035433893542</v>
      </c>
    </row>
    <row r="10" spans="1:9" ht="16" thickBot="1">
      <c r="A10" s="23" t="s">
        <v>19</v>
      </c>
      <c r="B10" s="10">
        <f>'CBE Total'!B10/Population!G10*1000000</f>
        <v>23.415954693016339</v>
      </c>
      <c r="C10" s="10">
        <f>'CBE Total'!C10/Population!H10*1000000</f>
        <v>23.446938855059035</v>
      </c>
      <c r="D10" s="10">
        <f>'CBE Total'!D10/Population!I10*1000000</f>
        <v>23.068150011742794</v>
      </c>
      <c r="E10" s="10">
        <f>'CBE Total'!E10/Population!J10*1000000</f>
        <v>23.033247206911646</v>
      </c>
      <c r="F10" s="10">
        <f>'CBE Total'!F10/Population!K10*1000000</f>
        <v>22.949381455358242</v>
      </c>
      <c r="G10" s="10">
        <f>'CBE Total'!G10/Population!L10*1000000</f>
        <v>22.321746028262279</v>
      </c>
      <c r="H10" s="10">
        <f>'CBE Total'!H10/Population!M10*1000000</f>
        <v>23.031862940571468</v>
      </c>
      <c r="I10" s="10">
        <f>'CBE Total'!I10/Population!N10*1000000</f>
        <v>22.004489794241728</v>
      </c>
    </row>
    <row r="11" spans="1:9" ht="16" thickBot="1">
      <c r="A11" s="23" t="s">
        <v>21</v>
      </c>
      <c r="B11" s="10">
        <f>'CBE Total'!B11/Population!G11*1000000</f>
        <v>21.022712304010266</v>
      </c>
      <c r="C11" s="10">
        <f>'CBE Total'!C11/Population!H11*1000000</f>
        <v>20.592685696709253</v>
      </c>
      <c r="D11" s="10">
        <f>'CBE Total'!D11/Population!I11*1000000</f>
        <v>22.041894171549995</v>
      </c>
      <c r="E11" s="10">
        <f>'CBE Total'!E11/Population!J11*1000000</f>
        <v>21.232791242652674</v>
      </c>
      <c r="F11" s="10">
        <f>'CBE Total'!F11/Population!K11*1000000</f>
        <v>21.882036203790364</v>
      </c>
      <c r="G11" s="10">
        <f>'CBE Total'!G11/Population!L11*1000000</f>
        <v>20.362797672328714</v>
      </c>
      <c r="H11" s="10">
        <f>'CBE Total'!H11/Population!M11*1000000</f>
        <v>20.756847584226879</v>
      </c>
      <c r="I11" s="10">
        <f>'CBE Total'!I11/Population!N11*1000000</f>
        <v>20.030398919588222</v>
      </c>
    </row>
    <row r="12" spans="1:9" ht="16" thickBot="1">
      <c r="A12" s="23" t="s">
        <v>23</v>
      </c>
      <c r="B12" s="10">
        <f>'CBE Total'!B12/Population!G12*1000000</f>
        <v>22.629420194860742</v>
      </c>
      <c r="C12" s="10">
        <f>'CBE Total'!C12/Population!H12*1000000</f>
        <v>20.678310779095149</v>
      </c>
      <c r="D12" s="10">
        <f>'CBE Total'!D12/Population!I12*1000000</f>
        <v>21.629783144957358</v>
      </c>
      <c r="E12" s="10">
        <f>'CBE Total'!E12/Population!J12*1000000</f>
        <v>21.193726312078848</v>
      </c>
      <c r="F12" s="10">
        <f>'CBE Total'!F12/Population!K12*1000000</f>
        <v>21.01541464721522</v>
      </c>
      <c r="G12" s="10">
        <f>'CBE Total'!G12/Population!L12*1000000</f>
        <v>20.394244947086214</v>
      </c>
      <c r="H12" s="10">
        <f>'CBE Total'!H12/Population!M12*1000000</f>
        <v>20.827718729792252</v>
      </c>
      <c r="I12" s="10">
        <f>'CBE Total'!I12/Population!N12*1000000</f>
        <v>20.156169722163281</v>
      </c>
    </row>
    <row r="13" spans="1:9" ht="16" thickBot="1">
      <c r="A13" s="23" t="s">
        <v>25</v>
      </c>
      <c r="B13" s="10">
        <f>'CBE Total'!B13/Population!G13*1000000</f>
        <v>20.271027327137002</v>
      </c>
      <c r="C13" s="10">
        <f>'CBE Total'!C13/Population!H13*1000000</f>
        <v>19.843833770166086</v>
      </c>
      <c r="D13" s="10">
        <f>'CBE Total'!D13/Population!I13*1000000</f>
        <v>19.395378561763629</v>
      </c>
      <c r="E13" s="10">
        <f>'CBE Total'!E13/Population!J13*1000000</f>
        <v>19.488598166593064</v>
      </c>
      <c r="F13" s="10">
        <f>'CBE Total'!F13/Population!K13*1000000</f>
        <v>19.70018051793306</v>
      </c>
      <c r="G13" s="10">
        <f>'CBE Total'!G13/Population!L13*1000000</f>
        <v>20.430113037623745</v>
      </c>
      <c r="H13" s="10">
        <f>'CBE Total'!H13/Population!M13*1000000</f>
        <v>20.266121260628484</v>
      </c>
      <c r="I13" s="10">
        <f>'CBE Total'!I13/Population!N13*1000000</f>
        <v>20.193612134430232</v>
      </c>
    </row>
    <row r="14" spans="1:9" ht="16" thickBot="1">
      <c r="A14" s="23" t="s">
        <v>27</v>
      </c>
      <c r="B14" s="10">
        <f>'CBE Total'!B14/Population!G14*1000000</f>
        <v>17.872820818843067</v>
      </c>
      <c r="C14" s="10">
        <f>'CBE Total'!C14/Population!H14*1000000</f>
        <v>18.755807761391157</v>
      </c>
      <c r="D14" s="10">
        <f>'CBE Total'!D14/Population!I14*1000000</f>
        <v>18.657124710013782</v>
      </c>
      <c r="E14" s="10">
        <f>'CBE Total'!E14/Population!J14*1000000</f>
        <v>18.616796855836164</v>
      </c>
      <c r="F14" s="10">
        <f>'CBE Total'!F14/Population!K14*1000000</f>
        <v>18.319339269368395</v>
      </c>
      <c r="G14" s="10">
        <f>'CBE Total'!G14/Population!L14*1000000</f>
        <v>18.016644204655606</v>
      </c>
      <c r="H14" s="10">
        <f>'CBE Total'!H14/Population!M14*1000000</f>
        <v>18.159963576870169</v>
      </c>
      <c r="I14" s="10">
        <f>'CBE Total'!I14/Population!N14*1000000</f>
        <v>18.012047687129453</v>
      </c>
    </row>
    <row r="15" spans="1:9" ht="16" thickBot="1">
      <c r="A15" s="23" t="s">
        <v>29</v>
      </c>
      <c r="B15" s="10">
        <f>'CBE Total'!B15/Population!G15*1000000</f>
        <v>24.566879435762129</v>
      </c>
      <c r="C15" s="10">
        <f>'CBE Total'!C15/Population!H15*1000000</f>
        <v>25.067261444224403</v>
      </c>
      <c r="D15" s="10">
        <f>'CBE Total'!D15/Population!I15*1000000</f>
        <v>25.52046634663855</v>
      </c>
      <c r="E15" s="10">
        <f>'CBE Total'!E15/Population!J15*1000000</f>
        <v>24.838683487476739</v>
      </c>
      <c r="F15" s="10">
        <f>'CBE Total'!F15/Population!K15*1000000</f>
        <v>24.072846615431644</v>
      </c>
      <c r="G15" s="10">
        <f>'CBE Total'!G15/Population!L15*1000000</f>
        <v>23.515544618019742</v>
      </c>
      <c r="H15" s="10">
        <f>'CBE Total'!H15/Population!M15*1000000</f>
        <v>24.529055917396043</v>
      </c>
      <c r="I15" s="10">
        <f>'CBE Total'!I15/Population!N15*1000000</f>
        <v>23.488008550625832</v>
      </c>
    </row>
    <row r="16" spans="1:9" ht="16" thickBot="1">
      <c r="A16" s="23" t="s">
        <v>31</v>
      </c>
      <c r="B16" s="10">
        <f>'CBE Total'!B16/Population!G16*1000000</f>
        <v>29.211129658230114</v>
      </c>
      <c r="C16" s="10">
        <f>'CBE Total'!C16/Population!H16*1000000</f>
        <v>29.613329125507537</v>
      </c>
      <c r="D16" s="10">
        <f>'CBE Total'!D16/Population!I16*1000000</f>
        <v>30.52174943020885</v>
      </c>
      <c r="E16" s="10">
        <f>'CBE Total'!E16/Population!J16*1000000</f>
        <v>29.290811028714568</v>
      </c>
      <c r="F16" s="10">
        <f>'CBE Total'!F16/Population!K16*1000000</f>
        <v>28.861422388844403</v>
      </c>
      <c r="G16" s="10">
        <f>'CBE Total'!G16/Population!L16*1000000</f>
        <v>28.172377974544609</v>
      </c>
      <c r="H16" s="10">
        <f>'CBE Total'!H16/Population!M16*1000000</f>
        <v>30.127956147243442</v>
      </c>
      <c r="I16" s="10">
        <f>'CBE Total'!I16/Population!N16*1000000</f>
        <v>27.863044859354691</v>
      </c>
    </row>
    <row r="17" spans="1:9" ht="16" thickBot="1">
      <c r="A17" s="23" t="s">
        <v>33</v>
      </c>
      <c r="B17" s="10">
        <f>'CBE Total'!B17/Population!G17*1000000</f>
        <v>30.417129631134621</v>
      </c>
      <c r="C17" s="10">
        <f>'CBE Total'!C17/Population!H17*1000000</f>
        <v>29.858784214792319</v>
      </c>
      <c r="D17" s="10">
        <f>'CBE Total'!D17/Population!I17*1000000</f>
        <v>30.490851785743001</v>
      </c>
      <c r="E17" s="10">
        <f>'CBE Total'!E17/Population!J17*1000000</f>
        <v>29.127403106736391</v>
      </c>
      <c r="F17" s="10">
        <f>'CBE Total'!F17/Population!K17*1000000</f>
        <v>27.467978083721157</v>
      </c>
      <c r="G17" s="10">
        <f>'CBE Total'!G17/Population!L17*1000000</f>
        <v>26.927561235695752</v>
      </c>
      <c r="H17" s="10">
        <f>'CBE Total'!H17/Population!M17*1000000</f>
        <v>28.287026244530139</v>
      </c>
      <c r="I17" s="10">
        <f>'CBE Total'!I17/Population!N17*1000000</f>
        <v>26.788625925890713</v>
      </c>
    </row>
    <row r="18" spans="1:9" ht="16" thickBot="1">
      <c r="A18" s="23" t="s">
        <v>35</v>
      </c>
      <c r="B18" s="10">
        <f>'CBE Total'!B18/Population!G18*1000000</f>
        <v>27.117958642852262</v>
      </c>
      <c r="C18" s="10">
        <f>'CBE Total'!C18/Population!H18*1000000</f>
        <v>27.599840592393505</v>
      </c>
      <c r="D18" s="10">
        <f>'CBE Total'!D18/Population!I18*1000000</f>
        <v>28.152554322998817</v>
      </c>
      <c r="E18" s="10">
        <f>'CBE Total'!E18/Population!J18*1000000</f>
        <v>27.502408894294316</v>
      </c>
      <c r="F18" s="10">
        <f>'CBE Total'!F18/Population!K18*1000000</f>
        <v>26.514670659094062</v>
      </c>
      <c r="G18" s="10">
        <f>'CBE Total'!G18/Population!L18*1000000</f>
        <v>25.462805263349697</v>
      </c>
      <c r="H18" s="10">
        <f>'CBE Total'!H18/Population!M18*1000000</f>
        <v>26.294551788357261</v>
      </c>
      <c r="I18" s="10">
        <f>'CBE Total'!I18/Population!N18*1000000</f>
        <v>25.140269809570821</v>
      </c>
    </row>
    <row r="19" spans="1:9" ht="16" thickBot="1">
      <c r="A19" s="23" t="s">
        <v>37</v>
      </c>
      <c r="B19" s="10">
        <f>'CBE Total'!B19/Population!G19*1000000</f>
        <v>33.237311876445673</v>
      </c>
      <c r="C19" s="10">
        <f>'CBE Total'!C19/Population!H19*1000000</f>
        <v>32.749733861349995</v>
      </c>
      <c r="D19" s="10">
        <f>'CBE Total'!D19/Population!I19*1000000</f>
        <v>33.733882391265389</v>
      </c>
      <c r="E19" s="10">
        <f>'CBE Total'!E19/Population!J19*1000000</f>
        <v>33.395915386798301</v>
      </c>
      <c r="F19" s="10">
        <f>'CBE Total'!F19/Population!K19*1000000</f>
        <v>32.589859992222038</v>
      </c>
      <c r="G19" s="10">
        <f>'CBE Total'!G19/Population!L19*1000000</f>
        <v>30.429102650604143</v>
      </c>
      <c r="H19" s="10">
        <f>'CBE Total'!H19/Population!M19*1000000</f>
        <v>31.633765979333152</v>
      </c>
      <c r="I19" s="10">
        <f>'CBE Total'!I19/Population!N19*1000000</f>
        <v>29.779254211308661</v>
      </c>
    </row>
    <row r="20" spans="1:9" ht="16" thickBot="1">
      <c r="A20" s="23" t="s">
        <v>39</v>
      </c>
      <c r="B20" s="10">
        <f>'CBE Total'!B20/Population!G20*1000000</f>
        <v>28.179721589264183</v>
      </c>
      <c r="C20" s="10">
        <f>'CBE Total'!C20/Population!H20*1000000</f>
        <v>27.209236750050326</v>
      </c>
      <c r="D20" s="10">
        <f>'CBE Total'!D20/Population!I20*1000000</f>
        <v>26.971888321587386</v>
      </c>
      <c r="E20" s="10">
        <f>'CBE Total'!E20/Population!J20*1000000</f>
        <v>27.243741623126216</v>
      </c>
      <c r="F20" s="10">
        <f>'CBE Total'!F20/Population!K20*1000000</f>
        <v>26.78896397816651</v>
      </c>
      <c r="G20" s="10">
        <f>'CBE Total'!G20/Population!L20*1000000</f>
        <v>25.825031687848995</v>
      </c>
      <c r="H20" s="10">
        <f>'CBE Total'!H20/Population!M20*1000000</f>
        <v>25.979288321755309</v>
      </c>
      <c r="I20" s="10">
        <f>'CBE Total'!I20/Population!N20*1000000</f>
        <v>25.228323732993974</v>
      </c>
    </row>
    <row r="21" spans="1:9" ht="16" thickBot="1">
      <c r="A21" s="23" t="s">
        <v>41</v>
      </c>
      <c r="B21" s="10">
        <f>'CBE Total'!B21/Population!G21*1000000</f>
        <v>21.720328470644233</v>
      </c>
      <c r="C21" s="10">
        <f>'CBE Total'!C21/Population!H21*1000000</f>
        <v>22.504892662625029</v>
      </c>
      <c r="D21" s="10">
        <f>'CBE Total'!D21/Population!I21*1000000</f>
        <v>22.848209675516134</v>
      </c>
      <c r="E21" s="10">
        <f>'CBE Total'!E21/Population!J21*1000000</f>
        <v>23.284284275240879</v>
      </c>
      <c r="F21" s="10">
        <f>'CBE Total'!F21/Population!K21*1000000</f>
        <v>22.712839992278322</v>
      </c>
      <c r="G21" s="10">
        <f>'CBE Total'!G21/Population!L21*1000000</f>
        <v>22.300234075521576</v>
      </c>
      <c r="H21" s="10">
        <f>'CBE Total'!H21/Population!M21*1000000</f>
        <v>22.09432458812433</v>
      </c>
      <c r="I21" s="10">
        <f>'CBE Total'!I21/Population!N21*1000000</f>
        <v>21.561866729355192</v>
      </c>
    </row>
    <row r="22" spans="1:9" ht="16" thickBot="1">
      <c r="A22" s="23" t="s">
        <v>43</v>
      </c>
      <c r="B22" s="10">
        <f>'CBE Total'!B22/Population!G22*1000000</f>
        <v>23.507769332793387</v>
      </c>
      <c r="C22" s="10">
        <f>'CBE Total'!C22/Population!H22*1000000</f>
        <v>23.344528318196218</v>
      </c>
      <c r="D22" s="10">
        <f>'CBE Total'!D22/Population!I22*1000000</f>
        <v>23.567282266093454</v>
      </c>
      <c r="E22" s="10">
        <f>'CBE Total'!E22/Population!J22*1000000</f>
        <v>23.059796222977891</v>
      </c>
      <c r="F22" s="10">
        <f>'CBE Total'!F22/Population!K22*1000000</f>
        <v>22.602253785112008</v>
      </c>
      <c r="G22" s="10">
        <f>'CBE Total'!G22/Population!L22*1000000</f>
        <v>23.470544175270778</v>
      </c>
      <c r="H22" s="10">
        <f>'CBE Total'!H22/Population!M22*1000000</f>
        <v>22.088115216503127</v>
      </c>
      <c r="I22" s="10">
        <f>'CBE Total'!I22/Population!N22*1000000</f>
        <v>23.11013649415781</v>
      </c>
    </row>
    <row r="23" spans="1:9" ht="16" thickBot="1">
      <c r="A23" s="23" t="s">
        <v>45</v>
      </c>
      <c r="B23" s="10">
        <f>'CBE Total'!B23/Population!G23*1000000</f>
        <v>23.821233812671611</v>
      </c>
      <c r="C23" s="10">
        <f>'CBE Total'!C23/Population!H23*1000000</f>
        <v>24.133412597651084</v>
      </c>
      <c r="D23" s="10">
        <f>'CBE Total'!D23/Population!I23*1000000</f>
        <v>24.490044367281438</v>
      </c>
      <c r="E23" s="10">
        <f>'CBE Total'!E23/Population!J23*1000000</f>
        <v>24.355601861756771</v>
      </c>
      <c r="F23" s="10">
        <f>'CBE Total'!F23/Population!K23*1000000</f>
        <v>24.052271488631824</v>
      </c>
      <c r="G23" s="10">
        <f>'CBE Total'!G23/Population!L23*1000000</f>
        <v>23.468021742942824</v>
      </c>
      <c r="H23" s="10">
        <f>'CBE Total'!H23/Population!M23*1000000</f>
        <v>23.8174482806367</v>
      </c>
      <c r="I23" s="10">
        <f>'CBE Total'!I23/Population!N23*1000000</f>
        <v>23.343687346672173</v>
      </c>
    </row>
    <row r="24" spans="1:9" ht="16" thickBot="1">
      <c r="A24" s="23" t="s">
        <v>47</v>
      </c>
      <c r="B24" s="10">
        <f>'CBE Total'!B24/Population!G24*1000000</f>
        <v>25.129838958608772</v>
      </c>
      <c r="C24" s="10">
        <f>'CBE Total'!C24/Population!H24*1000000</f>
        <v>26.343708025721611</v>
      </c>
      <c r="D24" s="10">
        <f>'CBE Total'!D24/Population!I24*1000000</f>
        <v>27.045358599648257</v>
      </c>
      <c r="E24" s="10">
        <f>'CBE Total'!E24/Population!J24*1000000</f>
        <v>27.44982513090639</v>
      </c>
      <c r="F24" s="10">
        <f>'CBE Total'!F24/Population!K24*1000000</f>
        <v>27.041392900970202</v>
      </c>
      <c r="G24" s="10">
        <f>'CBE Total'!G24/Population!L24*1000000</f>
        <v>26.647796265038181</v>
      </c>
      <c r="H24" s="10">
        <f>'CBE Total'!H24/Population!M24*1000000</f>
        <v>27.399981690837169</v>
      </c>
      <c r="I24" s="10">
        <f>'CBE Total'!I24/Population!N24*1000000</f>
        <v>26.340476287985297</v>
      </c>
    </row>
    <row r="25" spans="1:9" ht="16" thickBot="1">
      <c r="A25" s="23" t="s">
        <v>49</v>
      </c>
      <c r="B25" s="10">
        <f>'CBE Total'!B25/Population!G25*1000000</f>
        <v>24.971373401581619</v>
      </c>
      <c r="C25" s="10">
        <f>'CBE Total'!C25/Population!H25*1000000</f>
        <v>25.500348297277963</v>
      </c>
      <c r="D25" s="10">
        <f>'CBE Total'!D25/Population!I25*1000000</f>
        <v>26.498060292283416</v>
      </c>
      <c r="E25" s="10">
        <f>'CBE Total'!E25/Population!J25*1000000</f>
        <v>25.732485691437041</v>
      </c>
      <c r="F25" s="10">
        <f>'CBE Total'!F25/Population!K25*1000000</f>
        <v>25.633780961058491</v>
      </c>
      <c r="G25" s="10">
        <f>'CBE Total'!G25/Population!L25*1000000</f>
        <v>24.927410473516186</v>
      </c>
      <c r="H25" s="10">
        <f>'CBE Total'!H25/Population!M25*1000000</f>
        <v>25.654502680847745</v>
      </c>
      <c r="I25" s="10">
        <f>'CBE Total'!I25/Population!N25*1000000</f>
        <v>24.656651355974997</v>
      </c>
    </row>
    <row r="26" spans="1:9" ht="16" thickBot="1">
      <c r="A26" s="23" t="s">
        <v>51</v>
      </c>
      <c r="B26" s="10">
        <f>'CBE Total'!B26/Population!G26*1000000</f>
        <v>21.724513173734572</v>
      </c>
      <c r="C26" s="10">
        <f>'CBE Total'!C26/Population!H26*1000000</f>
        <v>21.45513567554708</v>
      </c>
      <c r="D26" s="10">
        <f>'CBE Total'!D26/Population!I26*1000000</f>
        <v>22.0351563701735</v>
      </c>
      <c r="E26" s="10">
        <f>'CBE Total'!E26/Population!J26*1000000</f>
        <v>22.212810497408206</v>
      </c>
      <c r="F26" s="10">
        <f>'CBE Total'!F26/Population!K26*1000000</f>
        <v>22.341263439870573</v>
      </c>
      <c r="G26" s="10">
        <f>'CBE Total'!G26/Population!L26*1000000</f>
        <v>21.2363953943604</v>
      </c>
      <c r="H26" s="10">
        <f>'CBE Total'!H26/Population!M26*1000000</f>
        <v>22.053656131122903</v>
      </c>
      <c r="I26" s="10">
        <f>'CBE Total'!I26/Population!N26*1000000</f>
        <v>21.069969951101235</v>
      </c>
    </row>
    <row r="27" spans="1:9" ht="16" thickBot="1">
      <c r="A27" s="23" t="s">
        <v>53</v>
      </c>
      <c r="B27" s="10">
        <f>'CBE Total'!B27/Population!G27*1000000</f>
        <v>29.437081107442488</v>
      </c>
      <c r="C27" s="10">
        <f>'CBE Total'!C27/Population!H27*1000000</f>
        <v>29.650235112896404</v>
      </c>
      <c r="D27" s="10">
        <f>'CBE Total'!D27/Population!I27*1000000</f>
        <v>29.596393911563716</v>
      </c>
      <c r="E27" s="10">
        <f>'CBE Total'!E27/Population!J27*1000000</f>
        <v>28.806426238839261</v>
      </c>
      <c r="F27" s="10">
        <f>'CBE Total'!F27/Population!K27*1000000</f>
        <v>27.896016763222764</v>
      </c>
      <c r="G27" s="10">
        <f>'CBE Total'!G27/Population!L27*1000000</f>
        <v>28.152487362179386</v>
      </c>
      <c r="H27" s="10">
        <f>'CBE Total'!H27/Population!M27*1000000</f>
        <v>28.389619876950931</v>
      </c>
      <c r="I27" s="10">
        <f>'CBE Total'!I27/Population!N27*1000000</f>
        <v>27.436299049047904</v>
      </c>
    </row>
    <row r="28" spans="1:9" ht="16" thickBot="1">
      <c r="A28" s="23" t="s">
        <v>55</v>
      </c>
      <c r="B28" s="10">
        <f>'CBE Total'!B28/Population!G28*1000000</f>
        <v>33.562443277082799</v>
      </c>
      <c r="C28" s="10">
        <f>'CBE Total'!C28/Population!H28*1000000</f>
        <v>34.066738426293625</v>
      </c>
      <c r="D28" s="10">
        <f>'CBE Total'!D28/Population!I28*1000000</f>
        <v>34.814159153472701</v>
      </c>
      <c r="E28" s="10">
        <f>'CBE Total'!E28/Population!J28*1000000</f>
        <v>34.94713602950096</v>
      </c>
      <c r="F28" s="10">
        <f>'CBE Total'!F28/Population!K28*1000000</f>
        <v>33.257338409909508</v>
      </c>
      <c r="G28" s="10">
        <f>'CBE Total'!G28/Population!L28*1000000</f>
        <v>32.828399915628012</v>
      </c>
      <c r="H28" s="10">
        <f>'CBE Total'!H28/Population!M28*1000000</f>
        <v>33.534122460908954</v>
      </c>
      <c r="I28" s="10">
        <f>'CBE Total'!I28/Population!N28*1000000</f>
        <v>33.867051904137242</v>
      </c>
    </row>
    <row r="29" spans="1:9" ht="16" thickBot="1">
      <c r="A29" s="23" t="s">
        <v>57</v>
      </c>
      <c r="B29" s="10">
        <f>'CBE Total'!B29/Population!G29*1000000</f>
        <v>28.504864018457859</v>
      </c>
      <c r="C29" s="10">
        <f>'CBE Total'!C29/Population!H29*1000000</f>
        <v>30.44633537395746</v>
      </c>
      <c r="D29" s="10">
        <f>'CBE Total'!D29/Population!I29*1000000</f>
        <v>30.427643813909384</v>
      </c>
      <c r="E29" s="10">
        <f>'CBE Total'!E29/Population!J29*1000000</f>
        <v>28.728071033486899</v>
      </c>
      <c r="F29" s="10">
        <f>'CBE Total'!F29/Population!K29*1000000</f>
        <v>26.502579743243128</v>
      </c>
      <c r="G29" s="10">
        <f>'CBE Total'!G29/Population!L29*1000000</f>
        <v>26.20022370138631</v>
      </c>
      <c r="H29" s="10">
        <f>'CBE Total'!H29/Population!M29*1000000</f>
        <v>27.571325301955635</v>
      </c>
      <c r="I29" s="10">
        <f>'CBE Total'!I29/Population!N29*1000000</f>
        <v>27.44079325561102</v>
      </c>
    </row>
    <row r="30" spans="1:9" ht="16" thickBot="1">
      <c r="A30" s="23" t="s">
        <v>59</v>
      </c>
      <c r="B30" s="10">
        <f>'CBE Total'!B30/Population!G30*1000000</f>
        <v>21.695119089094884</v>
      </c>
      <c r="C30" s="10">
        <f>'CBE Total'!C30/Population!H30*1000000</f>
        <v>21.753740134079258</v>
      </c>
      <c r="D30" s="10">
        <f>'CBE Total'!D30/Population!I30*1000000</f>
        <v>21.74103536733735</v>
      </c>
      <c r="E30" s="10">
        <f>'CBE Total'!E30/Population!J30*1000000</f>
        <v>21.359317376477144</v>
      </c>
      <c r="F30" s="10">
        <f>'CBE Total'!F30/Population!K30*1000000</f>
        <v>21.49729757335146</v>
      </c>
      <c r="G30" s="10">
        <f>'CBE Total'!G30/Population!L30*1000000</f>
        <v>21.282798608036284</v>
      </c>
      <c r="H30" s="10">
        <f>'CBE Total'!H30/Population!M30*1000000</f>
        <v>21.863827035011912</v>
      </c>
      <c r="I30" s="10">
        <f>'CBE Total'!I30/Population!N30*1000000</f>
        <v>21.539373330441702</v>
      </c>
    </row>
    <row r="31" spans="1:9" ht="16" thickBot="1">
      <c r="A31" s="23" t="s">
        <v>61</v>
      </c>
      <c r="B31" s="10">
        <f>'CBE Total'!B31/Population!G31*1000000</f>
        <v>25.116909926659378</v>
      </c>
      <c r="C31" s="10">
        <f>'CBE Total'!C31/Population!H31*1000000</f>
        <v>25.62716715763797</v>
      </c>
      <c r="D31" s="10">
        <f>'CBE Total'!D31/Population!I31*1000000</f>
        <v>25.975162233067159</v>
      </c>
      <c r="E31" s="10">
        <f>'CBE Total'!E31/Population!J31*1000000</f>
        <v>26.086872523665207</v>
      </c>
      <c r="F31" s="10">
        <f>'CBE Total'!F31/Population!K31*1000000</f>
        <v>25.380066639747838</v>
      </c>
      <c r="G31" s="10">
        <f>'CBE Total'!G31/Population!L31*1000000</f>
        <v>24.819333866652038</v>
      </c>
      <c r="H31" s="10">
        <f>'CBE Total'!H31/Population!M31*1000000</f>
        <v>25.668411654531148</v>
      </c>
      <c r="I31" s="10">
        <f>'CBE Total'!I31/Population!N31*1000000</f>
        <v>24.825534155419788</v>
      </c>
    </row>
    <row r="32" spans="1:9" ht="16" thickBot="1">
      <c r="A32" s="23" t="s">
        <v>63</v>
      </c>
      <c r="B32" s="10">
        <f>'CBE Total'!B32/Population!G32*1000000</f>
        <v>24.42588091589521</v>
      </c>
      <c r="C32" s="10">
        <f>'CBE Total'!C32/Population!H32*1000000</f>
        <v>24.998317709483558</v>
      </c>
      <c r="D32" s="10">
        <f>'CBE Total'!D32/Population!I32*1000000</f>
        <v>25.719674771067826</v>
      </c>
      <c r="E32" s="10">
        <f>'CBE Total'!E32/Population!J32*1000000</f>
        <v>25.336670294337509</v>
      </c>
      <c r="F32" s="10">
        <f>'CBE Total'!F32/Population!K32*1000000</f>
        <v>24.760712839964075</v>
      </c>
      <c r="G32" s="10">
        <f>'CBE Total'!G32/Population!L32*1000000</f>
        <v>23.768499891677759</v>
      </c>
      <c r="H32" s="10">
        <f>'CBE Total'!H32/Population!M32*1000000</f>
        <v>24.18656260814031</v>
      </c>
      <c r="I32" s="10">
        <f>'CBE Total'!I32/Population!N32*1000000</f>
        <v>23.486009644017972</v>
      </c>
    </row>
    <row r="33" spans="1:9" ht="16" thickBot="1">
      <c r="A33" s="23" t="s">
        <v>65</v>
      </c>
      <c r="B33" s="10">
        <f>'CBE Total'!B33/Population!G33*1000000</f>
        <v>26.494529559351299</v>
      </c>
      <c r="C33" s="10">
        <f>'CBE Total'!C33/Population!H33*1000000</f>
        <v>26.472095180695828</v>
      </c>
      <c r="D33" s="10">
        <f>'CBE Total'!D33/Population!I33*1000000</f>
        <v>26.344196503774942</v>
      </c>
      <c r="E33" s="10">
        <f>'CBE Total'!E33/Population!J33*1000000</f>
        <v>26.967320492932767</v>
      </c>
      <c r="F33" s="10">
        <f>'CBE Total'!F33/Population!K33*1000000</f>
        <v>25.916051118027568</v>
      </c>
      <c r="G33" s="10">
        <f>'CBE Total'!G33/Population!L33*1000000</f>
        <v>25.087814994282393</v>
      </c>
      <c r="H33" s="10">
        <f>'CBE Total'!H33/Population!M33*1000000</f>
        <v>25.38824441247149</v>
      </c>
      <c r="I33" s="10">
        <f>'CBE Total'!I33/Population!N33*1000000</f>
        <v>24.352438849329154</v>
      </c>
    </row>
    <row r="34" spans="1:9" ht="16" thickBot="1">
      <c r="A34" s="23" t="s">
        <v>67</v>
      </c>
      <c r="B34" s="10">
        <f>'CBE Total'!B34/Population!G34*1000000</f>
        <v>22.375588900017636</v>
      </c>
      <c r="C34" s="10">
        <f>'CBE Total'!C34/Population!H34*1000000</f>
        <v>22.863827449507241</v>
      </c>
      <c r="D34" s="10">
        <f>'CBE Total'!D34/Population!I34*1000000</f>
        <v>23.287049459802375</v>
      </c>
      <c r="E34" s="10">
        <f>'CBE Total'!E34/Population!J34*1000000</f>
        <v>23.29203202944278</v>
      </c>
      <c r="F34" s="10">
        <f>'CBE Total'!F34/Population!K34*1000000</f>
        <v>22.76956423503832</v>
      </c>
      <c r="G34" s="10">
        <f>'CBE Total'!G34/Population!L34*1000000</f>
        <v>22.337359386922799</v>
      </c>
      <c r="H34" s="10">
        <f>'CBE Total'!H34/Population!M34*1000000</f>
        <v>23.283313750991979</v>
      </c>
      <c r="I34" s="10">
        <f>'CBE Total'!I34/Population!N34*1000000</f>
        <v>24.01997814179111</v>
      </c>
    </row>
    <row r="35" spans="1:9" ht="16" thickBot="1">
      <c r="A35" s="23" t="s">
        <v>69</v>
      </c>
      <c r="B35" s="10">
        <f>'CBE Total'!B35/Population!G35*1000000</f>
        <v>21.331048971247277</v>
      </c>
      <c r="C35" s="10">
        <f>'CBE Total'!C35/Population!H35*1000000</f>
        <v>21.518331793205068</v>
      </c>
      <c r="D35" s="10">
        <f>'CBE Total'!D35/Population!I35*1000000</f>
        <v>21.794691714503546</v>
      </c>
      <c r="E35" s="10">
        <f>'CBE Total'!E35/Population!J35*1000000</f>
        <v>21.197410674180492</v>
      </c>
      <c r="F35" s="10">
        <f>'CBE Total'!F35/Population!K35*1000000</f>
        <v>20.969662783703608</v>
      </c>
      <c r="G35" s="10">
        <f>'CBE Total'!G35/Population!L35*1000000</f>
        <v>20.190873152177204</v>
      </c>
      <c r="H35" s="10">
        <f>'CBE Total'!H35/Population!M35*1000000</f>
        <v>20.872759199796949</v>
      </c>
      <c r="I35" s="10">
        <f>'CBE Total'!I35/Population!N35*1000000</f>
        <v>20.306837740811382</v>
      </c>
    </row>
    <row r="36" spans="1:9" ht="16" thickBot="1">
      <c r="A36" s="23" t="s">
        <v>71</v>
      </c>
      <c r="B36" s="10">
        <f>'CBE Total'!B36/Population!G36*1000000</f>
        <v>43.974251828356934</v>
      </c>
      <c r="C36" s="10">
        <f>'CBE Total'!C36/Population!H36*1000000</f>
        <v>45.506941482142167</v>
      </c>
      <c r="D36" s="10">
        <f>'CBE Total'!D36/Population!I36*1000000</f>
        <v>46.875553464126035</v>
      </c>
      <c r="E36" s="10">
        <f>'CBE Total'!E36/Population!J36*1000000</f>
        <v>44.319064909437635</v>
      </c>
      <c r="F36" s="10">
        <f>'CBE Total'!F36/Population!K36*1000000</f>
        <v>38.046787392932984</v>
      </c>
      <c r="G36" s="10">
        <f>'CBE Total'!G36/Population!L36*1000000</f>
        <v>38.015291240916525</v>
      </c>
      <c r="H36" s="10">
        <f>'CBE Total'!H36/Population!M36*1000000</f>
        <v>39.92182883073027</v>
      </c>
      <c r="I36" s="10">
        <f>'CBE Total'!I36/Population!N36*1000000</f>
        <v>39.30854707359768</v>
      </c>
    </row>
    <row r="37" spans="1:9" ht="16" thickBot="1">
      <c r="A37" s="23" t="s">
        <v>73</v>
      </c>
      <c r="B37" s="10">
        <f>'CBE Total'!B37/Population!G37*1000000</f>
        <v>24.985606017115192</v>
      </c>
      <c r="C37" s="10">
        <f>'CBE Total'!C37/Population!H37*1000000</f>
        <v>26.658924956403755</v>
      </c>
      <c r="D37" s="10">
        <f>'CBE Total'!D37/Population!I37*1000000</f>
        <v>26.301622036250183</v>
      </c>
      <c r="E37" s="10">
        <f>'CBE Total'!E37/Population!J37*1000000</f>
        <v>25.436332534454191</v>
      </c>
      <c r="F37" s="10">
        <f>'CBE Total'!F37/Population!K37*1000000</f>
        <v>24.984970393755745</v>
      </c>
      <c r="G37" s="10">
        <f>'CBE Total'!G37/Population!L37*1000000</f>
        <v>24.528122199208383</v>
      </c>
      <c r="H37" s="10">
        <f>'CBE Total'!H37/Population!M37*1000000</f>
        <v>25.049179361925109</v>
      </c>
      <c r="I37" s="10">
        <f>'CBE Total'!I37/Population!N37*1000000</f>
        <v>23.538484571096149</v>
      </c>
    </row>
    <row r="38" spans="1:9" ht="16" thickBot="1">
      <c r="A38" s="23" t="s">
        <v>75</v>
      </c>
      <c r="B38" s="10">
        <f>'CBE Total'!B38/Population!G38*1000000</f>
        <v>27.343908344318422</v>
      </c>
      <c r="C38" s="10">
        <f>'CBE Total'!C38/Population!H38*1000000</f>
        <v>27.856171497352602</v>
      </c>
      <c r="D38" s="10">
        <f>'CBE Total'!D38/Population!I38*1000000</f>
        <v>27.879970718276347</v>
      </c>
      <c r="E38" s="10">
        <f>'CBE Total'!E38/Population!J38*1000000</f>
        <v>27.164962271390205</v>
      </c>
      <c r="F38" s="10">
        <f>'CBE Total'!F38/Population!K38*1000000</f>
        <v>26.13268468705262</v>
      </c>
      <c r="G38" s="10">
        <f>'CBE Total'!G38/Population!L38*1000000</f>
        <v>25.5107348277269</v>
      </c>
      <c r="H38" s="10">
        <f>'CBE Total'!H38/Population!M38*1000000</f>
        <v>26.790635583918217</v>
      </c>
      <c r="I38" s="10">
        <f>'CBE Total'!I38/Population!N38*1000000</f>
        <v>25.003074321242185</v>
      </c>
    </row>
    <row r="39" spans="1:9" ht="16" thickBot="1">
      <c r="A39" s="23" t="s">
        <v>77</v>
      </c>
      <c r="B39" s="10">
        <f>'CBE Total'!B39/Population!G39*1000000</f>
        <v>18.679843888216492</v>
      </c>
      <c r="C39" s="10">
        <f>'CBE Total'!C39/Population!H39*1000000</f>
        <v>19.408346989701382</v>
      </c>
      <c r="D39" s="10">
        <f>'CBE Total'!D39/Population!I39*1000000</f>
        <v>19.697018402096866</v>
      </c>
      <c r="E39" s="10">
        <f>'CBE Total'!E39/Population!J39*1000000</f>
        <v>20.028405355655874</v>
      </c>
      <c r="F39" s="10">
        <f>'CBE Total'!F39/Population!K39*1000000</f>
        <v>19.699052023777156</v>
      </c>
      <c r="G39" s="10">
        <f>'CBE Total'!G39/Population!L39*1000000</f>
        <v>19.533587136866874</v>
      </c>
      <c r="H39" s="10">
        <f>'CBE Total'!H39/Population!M39*1000000</f>
        <v>20.368845540026676</v>
      </c>
      <c r="I39" s="10">
        <f>'CBE Total'!I39/Population!N39*1000000</f>
        <v>20.34959742629756</v>
      </c>
    </row>
    <row r="40" spans="1:9" ht="16" thickBot="1">
      <c r="A40" s="23" t="s">
        <v>79</v>
      </c>
      <c r="B40" s="10">
        <f>'CBE Total'!B40/Population!G40*1000000</f>
        <v>27.086648686101281</v>
      </c>
      <c r="C40" s="10">
        <f>'CBE Total'!C40/Population!H40*1000000</f>
        <v>27.706379831608647</v>
      </c>
      <c r="D40" s="10">
        <f>'CBE Total'!D40/Population!I40*1000000</f>
        <v>27.589082312889904</v>
      </c>
      <c r="E40" s="10">
        <f>'CBE Total'!E40/Population!J40*1000000</f>
        <v>27.007383596773238</v>
      </c>
      <c r="F40" s="10">
        <f>'CBE Total'!F40/Population!K40*1000000</f>
        <v>26.328425104294816</v>
      </c>
      <c r="G40" s="10">
        <f>'CBE Total'!G40/Population!L40*1000000</f>
        <v>26.106280274837243</v>
      </c>
      <c r="H40" s="10">
        <f>'CBE Total'!H40/Population!M40*1000000</f>
        <v>27.090990008375957</v>
      </c>
      <c r="I40" s="10">
        <f>'CBE Total'!I40/Population!N40*1000000</f>
        <v>26.623528578254518</v>
      </c>
    </row>
    <row r="41" spans="1:9" ht="16" thickBot="1">
      <c r="A41" s="23" t="s">
        <v>81</v>
      </c>
      <c r="B41" s="10">
        <f>'CBE Total'!B41/Population!G41*1000000</f>
        <v>21.139859722118185</v>
      </c>
      <c r="C41" s="10">
        <f>'CBE Total'!C41/Population!H41*1000000</f>
        <v>21.530422782705781</v>
      </c>
      <c r="D41" s="10">
        <f>'CBE Total'!D41/Population!I41*1000000</f>
        <v>22.050162131038245</v>
      </c>
      <c r="E41" s="10">
        <f>'CBE Total'!E41/Population!J41*1000000</f>
        <v>22.092778380118649</v>
      </c>
      <c r="F41" s="10">
        <f>'CBE Total'!F41/Population!K41*1000000</f>
        <v>21.375464859903293</v>
      </c>
      <c r="G41" s="10">
        <f>'CBE Total'!G41/Population!L41*1000000</f>
        <v>20.994048346410299</v>
      </c>
      <c r="H41" s="10">
        <f>'CBE Total'!H41/Population!M41*1000000</f>
        <v>22.392923658705058</v>
      </c>
      <c r="I41" s="10">
        <f>'CBE Total'!I41/Population!N41*1000000</f>
        <v>21.702346980868654</v>
      </c>
    </row>
    <row r="42" spans="1:9" ht="16" thickBot="1">
      <c r="A42" s="23" t="s">
        <v>83</v>
      </c>
      <c r="B42" s="10">
        <f>'CBE Total'!B42/Population!G42*1000000</f>
        <v>22.235507447607279</v>
      </c>
      <c r="C42" s="10">
        <f>'CBE Total'!C42/Population!H42*1000000</f>
        <v>22.20377071753623</v>
      </c>
      <c r="D42" s="10">
        <f>'CBE Total'!D42/Population!I42*1000000</f>
        <v>23.083721199257734</v>
      </c>
      <c r="E42" s="10">
        <f>'CBE Total'!E42/Population!J42*1000000</f>
        <v>22.50613764933243</v>
      </c>
      <c r="F42" s="10">
        <f>'CBE Total'!F42/Population!K42*1000000</f>
        <v>22.426873267435369</v>
      </c>
      <c r="G42" s="10">
        <f>'CBE Total'!G42/Population!L42*1000000</f>
        <v>21.374019470779093</v>
      </c>
      <c r="H42" s="10">
        <f>'CBE Total'!H42/Population!M42*1000000</f>
        <v>22.09709340154</v>
      </c>
      <c r="I42" s="10">
        <f>'CBE Total'!I42/Population!N42*1000000</f>
        <v>21.569755088357986</v>
      </c>
    </row>
    <row r="43" spans="1:9" ht="16" thickBot="1">
      <c r="A43" s="23" t="s">
        <v>85</v>
      </c>
      <c r="B43" s="10">
        <f>'CBE Total'!B43/Population!G43*1000000</f>
        <v>22.150843484499124</v>
      </c>
      <c r="C43" s="10">
        <f>'CBE Total'!C43/Population!H43*1000000</f>
        <v>22.953309684251515</v>
      </c>
      <c r="D43" s="10">
        <f>'CBE Total'!D43/Population!I43*1000000</f>
        <v>22.908427341428688</v>
      </c>
      <c r="E43" s="10">
        <f>'CBE Total'!E43/Population!J43*1000000</f>
        <v>22.471135425790525</v>
      </c>
      <c r="F43" s="10">
        <f>'CBE Total'!F43/Population!K43*1000000</f>
        <v>22.420683294012953</v>
      </c>
      <c r="G43" s="10">
        <f>'CBE Total'!G43/Population!L43*1000000</f>
        <v>21.415288451403882</v>
      </c>
      <c r="H43" s="10">
        <f>'CBE Total'!H43/Population!M43*1000000</f>
        <v>21.965430671288654</v>
      </c>
      <c r="I43" s="10">
        <f>'CBE Total'!I43/Population!N43*1000000</f>
        <v>21.684264784510191</v>
      </c>
    </row>
    <row r="44" spans="1:9" ht="16" thickBot="1">
      <c r="A44" s="23" t="s">
        <v>87</v>
      </c>
      <c r="B44" s="10">
        <f>'CBE Total'!B44/Population!G44*1000000</f>
        <v>22.893088796879034</v>
      </c>
      <c r="C44" s="10">
        <f>'CBE Total'!C44/Population!H44*1000000</f>
        <v>22.600800081301561</v>
      </c>
      <c r="D44" s="10">
        <f>'CBE Total'!D44/Population!I44*1000000</f>
        <v>23.521827645992197</v>
      </c>
      <c r="E44" s="10">
        <f>'CBE Total'!E44/Population!J44*1000000</f>
        <v>22.942802264241404</v>
      </c>
      <c r="F44" s="10">
        <f>'CBE Total'!F44/Population!K44*1000000</f>
        <v>23.393488724813839</v>
      </c>
      <c r="G44" s="10">
        <f>'CBE Total'!G44/Population!L44*1000000</f>
        <v>22.285450793800798</v>
      </c>
      <c r="H44" s="10">
        <f>'CBE Total'!H44/Population!M44*1000000</f>
        <v>22.308847011894184</v>
      </c>
      <c r="I44" s="10">
        <f>'CBE Total'!I44/Population!N44*1000000</f>
        <v>21.67054902979482</v>
      </c>
    </row>
    <row r="45" spans="1:9" ht="16" thickBot="1">
      <c r="A45" s="23" t="s">
        <v>89</v>
      </c>
      <c r="B45" s="10">
        <f>'CBE Total'!B45/Population!G45*1000000</f>
        <v>26.817405337679517</v>
      </c>
      <c r="C45" s="10">
        <f>'CBE Total'!C45/Population!H45*1000000</f>
        <v>28.367053034890208</v>
      </c>
      <c r="D45" s="10">
        <f>'CBE Total'!D45/Population!I45*1000000</f>
        <v>27.895804802588664</v>
      </c>
      <c r="E45" s="10">
        <f>'CBE Total'!E45/Population!J45*1000000</f>
        <v>26.972204934711456</v>
      </c>
      <c r="F45" s="10">
        <f>'CBE Total'!F45/Population!K45*1000000</f>
        <v>26.246107655508389</v>
      </c>
      <c r="G45" s="10">
        <f>'CBE Total'!G45/Population!L45*1000000</f>
        <v>25.638892757811526</v>
      </c>
      <c r="H45" s="10">
        <f>'CBE Total'!H45/Population!M45*1000000</f>
        <v>25.981727196090802</v>
      </c>
      <c r="I45" s="10">
        <f>'CBE Total'!I45/Population!N45*1000000</f>
        <v>25.698071046711771</v>
      </c>
    </row>
    <row r="46" spans="1:9" ht="16" thickBot="1">
      <c r="A46" s="23" t="s">
        <v>91</v>
      </c>
      <c r="B46" s="10">
        <f>'CBE Total'!B46/Population!G46*1000000</f>
        <v>26.551452227625184</v>
      </c>
      <c r="C46" s="10">
        <f>'CBE Total'!C46/Population!H46*1000000</f>
        <v>27.260453334437678</v>
      </c>
      <c r="D46" s="10">
        <f>'CBE Total'!D46/Population!I46*1000000</f>
        <v>27.17049289398712</v>
      </c>
      <c r="E46" s="10">
        <f>'CBE Total'!E46/Population!J46*1000000</f>
        <v>26.979624962481157</v>
      </c>
      <c r="F46" s="10">
        <f>'CBE Total'!F46/Population!K46*1000000</f>
        <v>25.660571070145057</v>
      </c>
      <c r="G46" s="10">
        <f>'CBE Total'!G46/Population!L46*1000000</f>
        <v>24.968020426682386</v>
      </c>
      <c r="H46" s="10">
        <f>'CBE Total'!H46/Population!M46*1000000</f>
        <v>25.540593933820613</v>
      </c>
      <c r="I46" s="10">
        <f>'CBE Total'!I46/Population!N46*1000000</f>
        <v>25.154400026450752</v>
      </c>
    </row>
    <row r="47" spans="1:9" ht="16" thickBot="1">
      <c r="A47" s="23" t="s">
        <v>93</v>
      </c>
      <c r="B47" s="10">
        <f>'CBE Total'!B47/Population!G47*1000000</f>
        <v>22.157964509894743</v>
      </c>
      <c r="C47" s="10">
        <f>'CBE Total'!C47/Population!H47*1000000</f>
        <v>22.148416665335908</v>
      </c>
      <c r="D47" s="10">
        <f>'CBE Total'!D47/Population!I47*1000000</f>
        <v>22.22375058779874</v>
      </c>
      <c r="E47" s="10">
        <f>'CBE Total'!E47/Population!J47*1000000</f>
        <v>22.928891775002558</v>
      </c>
      <c r="F47" s="10">
        <f>'CBE Total'!F47/Population!K47*1000000</f>
        <v>22.518644062361204</v>
      </c>
      <c r="G47" s="10">
        <f>'CBE Total'!G47/Population!L47*1000000</f>
        <v>22.007867457683584</v>
      </c>
      <c r="H47" s="10">
        <f>'CBE Total'!H47/Population!M47*1000000</f>
        <v>22.773344779757767</v>
      </c>
      <c r="I47" s="10">
        <f>'CBE Total'!I47/Population!N47*1000000</f>
        <v>22.493681779646757</v>
      </c>
    </row>
    <row r="48" spans="1:9" ht="16" thickBot="1">
      <c r="A48" s="23" t="s">
        <v>95</v>
      </c>
      <c r="B48" s="10">
        <f>'CBE Total'!B48/Population!G48*1000000</f>
        <v>25.643986375209526</v>
      </c>
      <c r="C48" s="10">
        <f>'CBE Total'!C48/Population!H48*1000000</f>
        <v>25.202062375104926</v>
      </c>
      <c r="D48" s="10">
        <f>'CBE Total'!D48/Population!I48*1000000</f>
        <v>27.13908073319277</v>
      </c>
      <c r="E48" s="10">
        <f>'CBE Total'!E48/Population!J48*1000000</f>
        <v>28.310468262366225</v>
      </c>
      <c r="F48" s="10">
        <f>'CBE Total'!F48/Population!K48*1000000</f>
        <v>26.334785792236151</v>
      </c>
      <c r="G48" s="10">
        <f>'CBE Total'!G48/Population!L48*1000000</f>
        <v>23.450828827068239</v>
      </c>
      <c r="H48" s="10">
        <f>'CBE Total'!H48/Population!M48*1000000</f>
        <v>28.280067274527646</v>
      </c>
      <c r="I48" s="10">
        <f>'CBE Total'!I48/Population!N48*1000000</f>
        <v>22.472823269446181</v>
      </c>
    </row>
    <row r="49" spans="1:9" ht="16" thickBot="1">
      <c r="A49" s="23" t="s">
        <v>97</v>
      </c>
      <c r="B49" s="10">
        <f>'CBE Total'!B49/Population!G49*1000000</f>
        <v>20.904397208200947</v>
      </c>
      <c r="C49" s="10">
        <f>'CBE Total'!C49/Population!H49*1000000</f>
        <v>21.772031387201441</v>
      </c>
      <c r="D49" s="10">
        <f>'CBE Total'!D49/Population!I49*1000000</f>
        <v>22.424489928990145</v>
      </c>
      <c r="E49" s="10">
        <f>'CBE Total'!E49/Population!J49*1000000</f>
        <v>21.58135851562966</v>
      </c>
      <c r="F49" s="10">
        <f>'CBE Total'!F49/Population!K49*1000000</f>
        <v>21.122277861772492</v>
      </c>
      <c r="G49" s="10">
        <f>'CBE Total'!G49/Population!L49*1000000</f>
        <v>21.103225196346347</v>
      </c>
      <c r="H49" s="10">
        <f>'CBE Total'!H49/Population!M49*1000000</f>
        <v>21.533722875823592</v>
      </c>
      <c r="I49" s="10">
        <f>'CBE Total'!I49/Population!N49*1000000</f>
        <v>21.42776924114364</v>
      </c>
    </row>
    <row r="50" spans="1:9" ht="16" thickBot="1">
      <c r="A50" s="23" t="s">
        <v>99</v>
      </c>
      <c r="B50" s="10">
        <f>'CBE Total'!B50/Population!G50*1000000</f>
        <v>31.284208066037937</v>
      </c>
      <c r="C50" s="10">
        <f>'CBE Total'!C50/Population!H50*1000000</f>
        <v>32.385865795285</v>
      </c>
      <c r="D50" s="10">
        <f>'CBE Total'!D50/Population!I50*1000000</f>
        <v>33.799784697286654</v>
      </c>
      <c r="E50" s="10">
        <f>'CBE Total'!E50/Population!J50*1000000</f>
        <v>33.151396541896261</v>
      </c>
      <c r="F50" s="10">
        <f>'CBE Total'!F50/Population!K50*1000000</f>
        <v>33.370301738427095</v>
      </c>
      <c r="G50" s="10">
        <f>'CBE Total'!G50/Population!L50*1000000</f>
        <v>32.305850730102968</v>
      </c>
      <c r="H50" s="10">
        <f>'CBE Total'!H50/Population!M50*1000000</f>
        <v>32.434296906651973</v>
      </c>
      <c r="I50" s="10">
        <f>'CBE Total'!I50/Population!N50*1000000</f>
        <v>33.485735266136089</v>
      </c>
    </row>
    <row r="51" spans="1:9" ht="16" thickBot="1">
      <c r="A51" s="23" t="s">
        <v>101</v>
      </c>
      <c r="B51" s="10">
        <f>'CBE Total'!B51/Population!G51*1000000</f>
        <v>24.195564304645487</v>
      </c>
      <c r="C51" s="10">
        <f>'CBE Total'!C51/Population!H51*1000000</f>
        <v>25.592920665588938</v>
      </c>
      <c r="D51" s="10">
        <f>'CBE Total'!D51/Population!I51*1000000</f>
        <v>25.421551675425214</v>
      </c>
      <c r="E51" s="10">
        <f>'CBE Total'!E51/Population!J51*1000000</f>
        <v>25.796028078751039</v>
      </c>
      <c r="F51" s="10">
        <f>'CBE Total'!F51/Population!K51*1000000</f>
        <v>25.344836008833411</v>
      </c>
      <c r="G51" s="10">
        <f>'CBE Total'!G51/Population!L51*1000000</f>
        <v>25.529979520519721</v>
      </c>
      <c r="H51" s="10">
        <f>'CBE Total'!H51/Population!M51*1000000</f>
        <v>26.054863393398016</v>
      </c>
      <c r="I51" s="10">
        <f>'CBE Total'!I51/Population!N51*1000000</f>
        <v>24.848604552666462</v>
      </c>
    </row>
    <row r="52" spans="1:9" ht="16" thickBot="1">
      <c r="A52" s="23" t="s">
        <v>103</v>
      </c>
      <c r="B52" s="10">
        <f>'CBE Total'!B52/Population!G52*1000000</f>
        <v>71.049184025819656</v>
      </c>
      <c r="C52" s="10">
        <f>'CBE Total'!C52/Population!H52*1000000</f>
        <v>71.85840768773555</v>
      </c>
      <c r="D52" s="10">
        <f>'CBE Total'!D52/Population!I52*1000000</f>
        <v>69.896039867406202</v>
      </c>
      <c r="E52" s="10">
        <f>'CBE Total'!E52/Population!J52*1000000</f>
        <v>69.328327752286924</v>
      </c>
      <c r="F52" s="10">
        <f>'CBE Total'!F52/Population!K52*1000000</f>
        <v>62.90290389668187</v>
      </c>
      <c r="G52" s="10">
        <f>'CBE Total'!G52/Population!L52*1000000</f>
        <v>63.809745893724809</v>
      </c>
      <c r="H52" s="10">
        <f>'CBE Total'!H52/Population!M52*1000000</f>
        <v>66.065813597968159</v>
      </c>
      <c r="I52" s="10">
        <f>'CBE Total'!I52/Population!N52*1000000</f>
        <v>61.626186374639538</v>
      </c>
    </row>
    <row r="53" spans="1:9">
      <c r="A53" s="27" t="s">
        <v>107</v>
      </c>
      <c r="B53" s="10">
        <f>'CBE Total'!B53/Population!G2*1000000</f>
        <v>24.122200123913821</v>
      </c>
      <c r="C53" s="10">
        <f>'CBE Total'!C53/Population!H2*1000000</f>
        <v>24.384451363350692</v>
      </c>
      <c r="D53" s="10">
        <f>'CBE Total'!D53/Population!I2*1000000</f>
        <v>24.755769057649353</v>
      </c>
      <c r="E53" s="10">
        <f>'CBE Total'!E53/Population!J2*1000000</f>
        <v>24.397098562215401</v>
      </c>
      <c r="F53" s="10">
        <f>'CBE Total'!F53/Population!K2*1000000</f>
        <v>23.957591889688587</v>
      </c>
      <c r="G53" s="10">
        <f>'CBE Total'!G53/Population!L2*1000000</f>
        <v>23.38003111046735</v>
      </c>
      <c r="H53" s="10">
        <f>'CBE Total'!H53/Population!M2*1000000</f>
        <v>24.062459891684071</v>
      </c>
      <c r="I53" s="10">
        <f>'CBE Total'!I53/Population!N2*1000000</f>
        <v>23.361128656465908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C4C7-1974-4E7B-A7B2-86B9273BBB3E}">
  <dimension ref="A1:N64"/>
  <sheetViews>
    <sheetView workbookViewId="0">
      <selection sqref="A1:XFD2"/>
    </sheetView>
  </sheetViews>
  <sheetFormatPr baseColWidth="10" defaultColWidth="8.83203125" defaultRowHeight="15"/>
  <cols>
    <col min="1" max="1" width="8.6640625" style="21"/>
    <col min="3" max="15" width="12.1640625" customWidth="1"/>
  </cols>
  <sheetData>
    <row r="1" spans="1:14" ht="30">
      <c r="A1" s="21" t="s">
        <v>112</v>
      </c>
      <c r="B1" s="45"/>
      <c r="C1" s="1" t="s">
        <v>113</v>
      </c>
      <c r="D1" s="1" t="s">
        <v>114</v>
      </c>
      <c r="E1" s="1">
        <v>2010</v>
      </c>
      <c r="F1" s="1">
        <v>2011</v>
      </c>
      <c r="G1" s="1">
        <v>2012</v>
      </c>
      <c r="H1" s="1">
        <v>2013</v>
      </c>
      <c r="I1" s="1">
        <v>2014</v>
      </c>
      <c r="J1" s="1">
        <v>2015</v>
      </c>
      <c r="K1" s="1">
        <v>2016</v>
      </c>
      <c r="L1" s="1">
        <v>2017</v>
      </c>
      <c r="M1" s="1">
        <v>2018</v>
      </c>
      <c r="N1" s="1">
        <v>2019</v>
      </c>
    </row>
    <row r="2" spans="1:14">
      <c r="A2" s="21" t="s">
        <v>2</v>
      </c>
      <c r="B2" s="2" t="s">
        <v>3</v>
      </c>
      <c r="C2" s="3">
        <v>308745538</v>
      </c>
      <c r="D2" s="3">
        <v>308758105</v>
      </c>
      <c r="E2" s="3">
        <v>309321666</v>
      </c>
      <c r="F2" s="3">
        <v>311556874</v>
      </c>
      <c r="G2" s="3">
        <v>313830990</v>
      </c>
      <c r="H2" s="3">
        <v>315993715</v>
      </c>
      <c r="I2" s="3">
        <v>318301008</v>
      </c>
      <c r="J2" s="3">
        <v>320635163</v>
      </c>
      <c r="K2" s="3">
        <v>322941311</v>
      </c>
      <c r="L2" s="3">
        <v>324985539</v>
      </c>
      <c r="M2" s="3">
        <v>326687501</v>
      </c>
      <c r="N2" s="3">
        <v>328239523</v>
      </c>
    </row>
    <row r="3" spans="1:14" ht="16">
      <c r="A3" s="26" t="s">
        <v>5</v>
      </c>
      <c r="B3" s="8" t="s">
        <v>115</v>
      </c>
      <c r="C3" s="5">
        <v>4779736</v>
      </c>
      <c r="D3" s="5">
        <v>4780125</v>
      </c>
      <c r="E3" s="5">
        <v>4785437</v>
      </c>
      <c r="F3" s="5">
        <v>4799069</v>
      </c>
      <c r="G3" s="5">
        <v>4815588</v>
      </c>
      <c r="H3" s="5">
        <v>4830081</v>
      </c>
      <c r="I3" s="5">
        <v>4841799</v>
      </c>
      <c r="J3" s="5">
        <v>4852347</v>
      </c>
      <c r="K3" s="5">
        <v>4863525</v>
      </c>
      <c r="L3" s="5">
        <v>4874486</v>
      </c>
      <c r="M3" s="5">
        <v>4887681</v>
      </c>
      <c r="N3" s="5">
        <v>4903185</v>
      </c>
    </row>
    <row r="4" spans="1:14" ht="16">
      <c r="A4" s="26" t="s">
        <v>7</v>
      </c>
      <c r="B4" s="8" t="s">
        <v>116</v>
      </c>
      <c r="C4" s="5">
        <v>710231</v>
      </c>
      <c r="D4" s="5">
        <v>710249</v>
      </c>
      <c r="E4" s="5">
        <v>713910</v>
      </c>
      <c r="F4" s="5">
        <v>722128</v>
      </c>
      <c r="G4" s="5">
        <v>730443</v>
      </c>
      <c r="H4" s="5">
        <v>737068</v>
      </c>
      <c r="I4" s="5">
        <v>736283</v>
      </c>
      <c r="J4" s="5">
        <v>737498</v>
      </c>
      <c r="K4" s="5">
        <v>741456</v>
      </c>
      <c r="L4" s="5">
        <v>739700</v>
      </c>
      <c r="M4" s="5">
        <v>735139</v>
      </c>
      <c r="N4" s="5">
        <v>731545</v>
      </c>
    </row>
    <row r="5" spans="1:14" ht="16">
      <c r="A5" s="26" t="s">
        <v>9</v>
      </c>
      <c r="B5" s="8" t="s">
        <v>117</v>
      </c>
      <c r="C5" s="5">
        <v>6392017</v>
      </c>
      <c r="D5" s="5">
        <v>6392288</v>
      </c>
      <c r="E5" s="5">
        <v>6407172</v>
      </c>
      <c r="F5" s="5">
        <v>6472643</v>
      </c>
      <c r="G5" s="5">
        <v>6554978</v>
      </c>
      <c r="H5" s="5">
        <v>6632764</v>
      </c>
      <c r="I5" s="5">
        <v>6730413</v>
      </c>
      <c r="J5" s="5">
        <v>6829676</v>
      </c>
      <c r="K5" s="5">
        <v>6941072</v>
      </c>
      <c r="L5" s="5">
        <v>7044008</v>
      </c>
      <c r="M5" s="5">
        <v>7158024</v>
      </c>
      <c r="N5" s="5">
        <v>7278717</v>
      </c>
    </row>
    <row r="6" spans="1:14" ht="16">
      <c r="A6" s="26" t="s">
        <v>11</v>
      </c>
      <c r="B6" s="8" t="s">
        <v>118</v>
      </c>
      <c r="C6" s="5">
        <v>2915918</v>
      </c>
      <c r="D6" s="5">
        <v>2916031</v>
      </c>
      <c r="E6" s="5">
        <v>2921964</v>
      </c>
      <c r="F6" s="5">
        <v>2940667</v>
      </c>
      <c r="G6" s="5">
        <v>2952164</v>
      </c>
      <c r="H6" s="5">
        <v>2959400</v>
      </c>
      <c r="I6" s="5">
        <v>2967392</v>
      </c>
      <c r="J6" s="5">
        <v>2978048</v>
      </c>
      <c r="K6" s="5">
        <v>2989918</v>
      </c>
      <c r="L6" s="5">
        <v>3001345</v>
      </c>
      <c r="M6" s="5">
        <v>3009733</v>
      </c>
      <c r="N6" s="5">
        <v>3017804</v>
      </c>
    </row>
    <row r="7" spans="1:14" ht="16">
      <c r="A7" s="26" t="s">
        <v>13</v>
      </c>
      <c r="B7" s="8" t="s">
        <v>119</v>
      </c>
      <c r="C7" s="5">
        <v>37253956</v>
      </c>
      <c r="D7" s="5">
        <v>37254519</v>
      </c>
      <c r="E7" s="5">
        <v>37319502</v>
      </c>
      <c r="F7" s="5">
        <v>37638369</v>
      </c>
      <c r="G7" s="5">
        <v>37948800</v>
      </c>
      <c r="H7" s="5">
        <v>38260787</v>
      </c>
      <c r="I7" s="5">
        <v>38596972</v>
      </c>
      <c r="J7" s="5">
        <v>38918045</v>
      </c>
      <c r="K7" s="5">
        <v>39167117</v>
      </c>
      <c r="L7" s="5">
        <v>39358497</v>
      </c>
      <c r="M7" s="5">
        <v>39461588</v>
      </c>
      <c r="N7" s="5">
        <v>39512223</v>
      </c>
    </row>
    <row r="8" spans="1:14" ht="16">
      <c r="A8" s="26" t="s">
        <v>15</v>
      </c>
      <c r="B8" s="8" t="s">
        <v>120</v>
      </c>
      <c r="C8" s="5">
        <v>5029196</v>
      </c>
      <c r="D8" s="5">
        <v>5029319</v>
      </c>
      <c r="E8" s="5">
        <v>5047349</v>
      </c>
      <c r="F8" s="5">
        <v>5121108</v>
      </c>
      <c r="G8" s="5">
        <v>5192647</v>
      </c>
      <c r="H8" s="5">
        <v>5269035</v>
      </c>
      <c r="I8" s="5">
        <v>5350101</v>
      </c>
      <c r="J8" s="5">
        <v>5450623</v>
      </c>
      <c r="K8" s="5">
        <v>5539215</v>
      </c>
      <c r="L8" s="5">
        <v>5611885</v>
      </c>
      <c r="M8" s="5">
        <v>5691287</v>
      </c>
      <c r="N8" s="5">
        <v>5758736</v>
      </c>
    </row>
    <row r="9" spans="1:14" ht="16">
      <c r="A9" s="26" t="s">
        <v>17</v>
      </c>
      <c r="B9" s="8" t="s">
        <v>121</v>
      </c>
      <c r="C9" s="5">
        <v>3574097</v>
      </c>
      <c r="D9" s="5">
        <v>3574147</v>
      </c>
      <c r="E9" s="5">
        <v>3579114</v>
      </c>
      <c r="F9" s="5">
        <v>3588283</v>
      </c>
      <c r="G9" s="5">
        <v>3594547</v>
      </c>
      <c r="H9" s="5">
        <v>3594841</v>
      </c>
      <c r="I9" s="5">
        <v>3594524</v>
      </c>
      <c r="J9" s="5">
        <v>3587122</v>
      </c>
      <c r="K9" s="5">
        <v>3578141</v>
      </c>
      <c r="L9" s="5">
        <v>3573297</v>
      </c>
      <c r="M9" s="5">
        <v>3571520</v>
      </c>
      <c r="N9" s="5">
        <v>3565287</v>
      </c>
    </row>
    <row r="10" spans="1:14" ht="16">
      <c r="A10" s="26" t="s">
        <v>19</v>
      </c>
      <c r="B10" s="8" t="s">
        <v>122</v>
      </c>
      <c r="C10" s="5">
        <v>897934</v>
      </c>
      <c r="D10" s="5">
        <v>897937</v>
      </c>
      <c r="E10" s="5">
        <v>899593</v>
      </c>
      <c r="F10" s="5">
        <v>907381</v>
      </c>
      <c r="G10" s="5">
        <v>915179</v>
      </c>
      <c r="H10" s="5">
        <v>923576</v>
      </c>
      <c r="I10" s="5">
        <v>932487</v>
      </c>
      <c r="J10" s="5">
        <v>941252</v>
      </c>
      <c r="K10" s="5">
        <v>948921</v>
      </c>
      <c r="L10" s="5">
        <v>956823</v>
      </c>
      <c r="M10" s="5">
        <v>965479</v>
      </c>
      <c r="N10" s="5">
        <v>973764</v>
      </c>
    </row>
    <row r="11" spans="1:14" ht="16">
      <c r="A11" s="26" t="s">
        <v>21</v>
      </c>
      <c r="B11" s="8" t="s">
        <v>123</v>
      </c>
      <c r="C11" s="5">
        <v>18801310</v>
      </c>
      <c r="D11" s="5">
        <v>18804564</v>
      </c>
      <c r="E11" s="5">
        <v>18845537</v>
      </c>
      <c r="F11" s="5">
        <v>19053237</v>
      </c>
      <c r="G11" s="5">
        <v>19297822</v>
      </c>
      <c r="H11" s="5">
        <v>19545621</v>
      </c>
      <c r="I11" s="5">
        <v>19845911</v>
      </c>
      <c r="J11" s="5">
        <v>20209042</v>
      </c>
      <c r="K11" s="5">
        <v>20613477</v>
      </c>
      <c r="L11" s="5">
        <v>20963613</v>
      </c>
      <c r="M11" s="5">
        <v>21244317</v>
      </c>
      <c r="N11" s="5">
        <v>21477737</v>
      </c>
    </row>
    <row r="12" spans="1:14" ht="16">
      <c r="A12" s="26" t="s">
        <v>23</v>
      </c>
      <c r="B12" s="8" t="s">
        <v>124</v>
      </c>
      <c r="C12" s="5">
        <v>9687653</v>
      </c>
      <c r="D12" s="5">
        <v>9688729</v>
      </c>
      <c r="E12" s="5">
        <v>9711881</v>
      </c>
      <c r="F12" s="5">
        <v>9802431</v>
      </c>
      <c r="G12" s="5">
        <v>9901430</v>
      </c>
      <c r="H12" s="5">
        <v>9972479</v>
      </c>
      <c r="I12" s="5">
        <v>10067278</v>
      </c>
      <c r="J12" s="5">
        <v>10178447</v>
      </c>
      <c r="K12" s="5">
        <v>10301890</v>
      </c>
      <c r="L12" s="5">
        <v>10410330</v>
      </c>
      <c r="M12" s="5">
        <v>10511131</v>
      </c>
      <c r="N12" s="5">
        <v>10617423</v>
      </c>
    </row>
    <row r="13" spans="1:14" ht="16">
      <c r="A13" s="26" t="s">
        <v>25</v>
      </c>
      <c r="B13" s="8" t="s">
        <v>125</v>
      </c>
      <c r="C13" s="5">
        <v>1360301</v>
      </c>
      <c r="D13" s="5">
        <v>1360307</v>
      </c>
      <c r="E13" s="5">
        <v>1363963</v>
      </c>
      <c r="F13" s="5">
        <v>1379329</v>
      </c>
      <c r="G13" s="5">
        <v>1394804</v>
      </c>
      <c r="H13" s="5">
        <v>1408243</v>
      </c>
      <c r="I13" s="5">
        <v>1414538</v>
      </c>
      <c r="J13" s="5">
        <v>1422052</v>
      </c>
      <c r="K13" s="5">
        <v>1427559</v>
      </c>
      <c r="L13" s="5">
        <v>1424393</v>
      </c>
      <c r="M13" s="5">
        <v>1420593</v>
      </c>
      <c r="N13" s="5">
        <v>1415872</v>
      </c>
    </row>
    <row r="14" spans="1:14" ht="16">
      <c r="A14" s="26" t="s">
        <v>27</v>
      </c>
      <c r="B14" s="8" t="s">
        <v>126</v>
      </c>
      <c r="C14" s="5">
        <v>1567582</v>
      </c>
      <c r="D14" s="5">
        <v>1567657</v>
      </c>
      <c r="E14" s="5">
        <v>1570746</v>
      </c>
      <c r="F14" s="5">
        <v>1583910</v>
      </c>
      <c r="G14" s="5">
        <v>1595324</v>
      </c>
      <c r="H14" s="5">
        <v>1611206</v>
      </c>
      <c r="I14" s="5">
        <v>1631112</v>
      </c>
      <c r="J14" s="5">
        <v>1651059</v>
      </c>
      <c r="K14" s="5">
        <v>1682380</v>
      </c>
      <c r="L14" s="5">
        <v>1717715</v>
      </c>
      <c r="M14" s="5">
        <v>1750536</v>
      </c>
      <c r="N14" s="5">
        <v>1787065</v>
      </c>
    </row>
    <row r="15" spans="1:14" ht="16">
      <c r="A15" s="26" t="s">
        <v>29</v>
      </c>
      <c r="B15" s="8" t="s">
        <v>127</v>
      </c>
      <c r="C15" s="5">
        <v>12830632</v>
      </c>
      <c r="D15" s="5">
        <v>12831572</v>
      </c>
      <c r="E15" s="5">
        <v>12840503</v>
      </c>
      <c r="F15" s="5">
        <v>12867454</v>
      </c>
      <c r="G15" s="5">
        <v>12882510</v>
      </c>
      <c r="H15" s="5">
        <v>12895129</v>
      </c>
      <c r="I15" s="5">
        <v>12884493</v>
      </c>
      <c r="J15" s="5">
        <v>12858913</v>
      </c>
      <c r="K15" s="5">
        <v>12820527</v>
      </c>
      <c r="L15" s="5">
        <v>12778828</v>
      </c>
      <c r="M15" s="5">
        <v>12723071</v>
      </c>
      <c r="N15" s="5">
        <v>12671821</v>
      </c>
    </row>
    <row r="16" spans="1:14" ht="16">
      <c r="A16" s="26" t="s">
        <v>31</v>
      </c>
      <c r="B16" s="8" t="s">
        <v>128</v>
      </c>
      <c r="C16" s="5">
        <v>6483802</v>
      </c>
      <c r="D16" s="5">
        <v>6484051</v>
      </c>
      <c r="E16" s="5">
        <v>6490432</v>
      </c>
      <c r="F16" s="5">
        <v>6516528</v>
      </c>
      <c r="G16" s="5">
        <v>6537703</v>
      </c>
      <c r="H16" s="5">
        <v>6568713</v>
      </c>
      <c r="I16" s="5">
        <v>6593644</v>
      </c>
      <c r="J16" s="5">
        <v>6608422</v>
      </c>
      <c r="K16" s="5">
        <v>6634304</v>
      </c>
      <c r="L16" s="5">
        <v>6658078</v>
      </c>
      <c r="M16" s="5">
        <v>6695497</v>
      </c>
      <c r="N16" s="5">
        <v>6732219</v>
      </c>
    </row>
    <row r="17" spans="1:14" ht="16">
      <c r="A17" s="26" t="s">
        <v>33</v>
      </c>
      <c r="B17" s="8" t="s">
        <v>129</v>
      </c>
      <c r="C17" s="5">
        <v>3046355</v>
      </c>
      <c r="D17" s="5">
        <v>3046871</v>
      </c>
      <c r="E17" s="5">
        <v>3050745</v>
      </c>
      <c r="F17" s="5">
        <v>3066336</v>
      </c>
      <c r="G17" s="5">
        <v>3076190</v>
      </c>
      <c r="H17" s="5">
        <v>3092997</v>
      </c>
      <c r="I17" s="5">
        <v>3109350</v>
      </c>
      <c r="J17" s="5">
        <v>3120960</v>
      </c>
      <c r="K17" s="5">
        <v>3131371</v>
      </c>
      <c r="L17" s="5">
        <v>3141550</v>
      </c>
      <c r="M17" s="5">
        <v>3148618</v>
      </c>
      <c r="N17" s="5">
        <v>3155070</v>
      </c>
    </row>
    <row r="18" spans="1:14" ht="16">
      <c r="A18" s="26" t="s">
        <v>35</v>
      </c>
      <c r="B18" s="8" t="s">
        <v>130</v>
      </c>
      <c r="C18" s="5">
        <v>2853118</v>
      </c>
      <c r="D18" s="5">
        <v>2853123</v>
      </c>
      <c r="E18" s="5">
        <v>2858190</v>
      </c>
      <c r="F18" s="5">
        <v>2869225</v>
      </c>
      <c r="G18" s="5">
        <v>2885257</v>
      </c>
      <c r="H18" s="5">
        <v>2893212</v>
      </c>
      <c r="I18" s="5">
        <v>2900475</v>
      </c>
      <c r="J18" s="5">
        <v>2909011</v>
      </c>
      <c r="K18" s="5">
        <v>2910844</v>
      </c>
      <c r="L18" s="5">
        <v>2908718</v>
      </c>
      <c r="M18" s="5">
        <v>2911359</v>
      </c>
      <c r="N18" s="5">
        <v>2913314</v>
      </c>
    </row>
    <row r="19" spans="1:14" ht="16">
      <c r="A19" s="26" t="s">
        <v>37</v>
      </c>
      <c r="B19" s="8" t="s">
        <v>131</v>
      </c>
      <c r="C19" s="5">
        <v>4339367</v>
      </c>
      <c r="D19" s="5">
        <v>4339333</v>
      </c>
      <c r="E19" s="5">
        <v>4348181</v>
      </c>
      <c r="F19" s="5">
        <v>4369821</v>
      </c>
      <c r="G19" s="5">
        <v>4386346</v>
      </c>
      <c r="H19" s="5">
        <v>4404659</v>
      </c>
      <c r="I19" s="5">
        <v>4414349</v>
      </c>
      <c r="J19" s="5">
        <v>4425976</v>
      </c>
      <c r="K19" s="5">
        <v>4438182</v>
      </c>
      <c r="L19" s="5">
        <v>4452268</v>
      </c>
      <c r="M19" s="5">
        <v>4461153</v>
      </c>
      <c r="N19" s="5">
        <v>4467673</v>
      </c>
    </row>
    <row r="20" spans="1:14" ht="16">
      <c r="A20" s="26" t="s">
        <v>39</v>
      </c>
      <c r="B20" s="8" t="s">
        <v>132</v>
      </c>
      <c r="C20" s="5">
        <v>4533372</v>
      </c>
      <c r="D20" s="5">
        <v>4533487</v>
      </c>
      <c r="E20" s="5">
        <v>4544532</v>
      </c>
      <c r="F20" s="5">
        <v>4575625</v>
      </c>
      <c r="G20" s="5">
        <v>4600972</v>
      </c>
      <c r="H20" s="5">
        <v>4624527</v>
      </c>
      <c r="I20" s="5">
        <v>4644013</v>
      </c>
      <c r="J20" s="5">
        <v>4664628</v>
      </c>
      <c r="K20" s="5">
        <v>4678135</v>
      </c>
      <c r="L20" s="5">
        <v>4670560</v>
      </c>
      <c r="M20" s="5">
        <v>4659690</v>
      </c>
      <c r="N20" s="5">
        <v>4648794</v>
      </c>
    </row>
    <row r="21" spans="1:14" ht="16">
      <c r="A21" s="26" t="s">
        <v>41</v>
      </c>
      <c r="B21" s="8" t="s">
        <v>133</v>
      </c>
      <c r="C21" s="5">
        <v>1328361</v>
      </c>
      <c r="D21" s="5">
        <v>1328358</v>
      </c>
      <c r="E21" s="5">
        <v>1327629</v>
      </c>
      <c r="F21" s="5">
        <v>1328284</v>
      </c>
      <c r="G21" s="5">
        <v>1327729</v>
      </c>
      <c r="H21" s="5">
        <v>1328009</v>
      </c>
      <c r="I21" s="5">
        <v>1330513</v>
      </c>
      <c r="J21" s="5">
        <v>1328262</v>
      </c>
      <c r="K21" s="5">
        <v>1331317</v>
      </c>
      <c r="L21" s="5">
        <v>1334612</v>
      </c>
      <c r="M21" s="5">
        <v>1339057</v>
      </c>
      <c r="N21" s="5">
        <v>1344212</v>
      </c>
    </row>
    <row r="22" spans="1:14" ht="16">
      <c r="A22" s="26" t="s">
        <v>43</v>
      </c>
      <c r="B22" s="8" t="s">
        <v>134</v>
      </c>
      <c r="C22" s="5">
        <v>5773552</v>
      </c>
      <c r="D22" s="5">
        <v>5773794</v>
      </c>
      <c r="E22" s="5">
        <v>5788645</v>
      </c>
      <c r="F22" s="5">
        <v>5839419</v>
      </c>
      <c r="G22" s="5">
        <v>5886992</v>
      </c>
      <c r="H22" s="5">
        <v>5923188</v>
      </c>
      <c r="I22" s="5">
        <v>5957283</v>
      </c>
      <c r="J22" s="5">
        <v>5985562</v>
      </c>
      <c r="K22" s="5">
        <v>6003323</v>
      </c>
      <c r="L22" s="5">
        <v>6023868</v>
      </c>
      <c r="M22" s="5">
        <v>6035802</v>
      </c>
      <c r="N22" s="5">
        <v>6045680</v>
      </c>
    </row>
    <row r="23" spans="1:14" ht="16">
      <c r="A23" s="26" t="s">
        <v>45</v>
      </c>
      <c r="B23" s="8" t="s">
        <v>135</v>
      </c>
      <c r="C23" s="5">
        <v>6547629</v>
      </c>
      <c r="D23" s="5">
        <v>6547785</v>
      </c>
      <c r="E23" s="5">
        <v>6566307</v>
      </c>
      <c r="F23" s="5">
        <v>6613583</v>
      </c>
      <c r="G23" s="5">
        <v>6663005</v>
      </c>
      <c r="H23" s="5">
        <v>6713315</v>
      </c>
      <c r="I23" s="5">
        <v>6762596</v>
      </c>
      <c r="J23" s="5">
        <v>6794228</v>
      </c>
      <c r="K23" s="5">
        <v>6823608</v>
      </c>
      <c r="L23" s="5">
        <v>6859789</v>
      </c>
      <c r="M23" s="5">
        <v>6882635</v>
      </c>
      <c r="N23" s="5">
        <v>6892503</v>
      </c>
    </row>
    <row r="24" spans="1:14" ht="16">
      <c r="A24" s="26" t="s">
        <v>47</v>
      </c>
      <c r="B24" s="8" t="s">
        <v>136</v>
      </c>
      <c r="C24" s="5">
        <v>9883640</v>
      </c>
      <c r="D24" s="5">
        <v>9884116</v>
      </c>
      <c r="E24" s="5">
        <v>9877510</v>
      </c>
      <c r="F24" s="5">
        <v>9882412</v>
      </c>
      <c r="G24" s="5">
        <v>9897145</v>
      </c>
      <c r="H24" s="5">
        <v>9913065</v>
      </c>
      <c r="I24" s="5">
        <v>9929848</v>
      </c>
      <c r="J24" s="5">
        <v>9931715</v>
      </c>
      <c r="K24" s="5">
        <v>9950571</v>
      </c>
      <c r="L24" s="5">
        <v>9973114</v>
      </c>
      <c r="M24" s="5">
        <v>9984072</v>
      </c>
      <c r="N24" s="5">
        <v>9986857</v>
      </c>
    </row>
    <row r="25" spans="1:14" ht="16">
      <c r="A25" s="26" t="s">
        <v>49</v>
      </c>
      <c r="B25" s="8" t="s">
        <v>137</v>
      </c>
      <c r="C25" s="5">
        <v>5303925</v>
      </c>
      <c r="D25" s="5">
        <v>5303927</v>
      </c>
      <c r="E25" s="5">
        <v>5310828</v>
      </c>
      <c r="F25" s="5">
        <v>5346143</v>
      </c>
      <c r="G25" s="5">
        <v>5376643</v>
      </c>
      <c r="H25" s="5">
        <v>5413479</v>
      </c>
      <c r="I25" s="5">
        <v>5451079</v>
      </c>
      <c r="J25" s="5">
        <v>5482032</v>
      </c>
      <c r="K25" s="5">
        <v>5522744</v>
      </c>
      <c r="L25" s="5">
        <v>5566230</v>
      </c>
      <c r="M25" s="5">
        <v>5606249</v>
      </c>
      <c r="N25" s="5">
        <v>5639632</v>
      </c>
    </row>
    <row r="26" spans="1:14" ht="16">
      <c r="A26" s="26" t="s">
        <v>51</v>
      </c>
      <c r="B26" s="8" t="s">
        <v>138</v>
      </c>
      <c r="C26" s="5">
        <v>2967297</v>
      </c>
      <c r="D26" s="5">
        <v>2968130</v>
      </c>
      <c r="E26" s="5">
        <v>2970548</v>
      </c>
      <c r="F26" s="5">
        <v>2978731</v>
      </c>
      <c r="G26" s="5">
        <v>2983816</v>
      </c>
      <c r="H26" s="5">
        <v>2988711</v>
      </c>
      <c r="I26" s="5">
        <v>2990468</v>
      </c>
      <c r="J26" s="5">
        <v>2988471</v>
      </c>
      <c r="K26" s="5">
        <v>2987938</v>
      </c>
      <c r="L26" s="5">
        <v>2988510</v>
      </c>
      <c r="M26" s="5">
        <v>2981020</v>
      </c>
      <c r="N26" s="5">
        <v>2976149</v>
      </c>
    </row>
    <row r="27" spans="1:14" ht="16">
      <c r="A27" s="26" t="s">
        <v>53</v>
      </c>
      <c r="B27" s="8" t="s">
        <v>139</v>
      </c>
      <c r="C27" s="5">
        <v>5988927</v>
      </c>
      <c r="D27" s="5">
        <v>5988950</v>
      </c>
      <c r="E27" s="5">
        <v>5995974</v>
      </c>
      <c r="F27" s="5">
        <v>6010275</v>
      </c>
      <c r="G27" s="5">
        <v>6024367</v>
      </c>
      <c r="H27" s="5">
        <v>6040715</v>
      </c>
      <c r="I27" s="5">
        <v>6056202</v>
      </c>
      <c r="J27" s="5">
        <v>6071732</v>
      </c>
      <c r="K27" s="5">
        <v>6087135</v>
      </c>
      <c r="L27" s="5">
        <v>6106670</v>
      </c>
      <c r="M27" s="5">
        <v>6121623</v>
      </c>
      <c r="N27" s="5">
        <v>6137428</v>
      </c>
    </row>
    <row r="28" spans="1:14" ht="16">
      <c r="A28" s="26" t="s">
        <v>55</v>
      </c>
      <c r="B28" s="8" t="s">
        <v>140</v>
      </c>
      <c r="C28" s="5">
        <v>989415</v>
      </c>
      <c r="D28" s="5">
        <v>989407</v>
      </c>
      <c r="E28" s="5">
        <v>990697</v>
      </c>
      <c r="F28" s="5">
        <v>997316</v>
      </c>
      <c r="G28" s="5">
        <v>1003783</v>
      </c>
      <c r="H28" s="5">
        <v>1013569</v>
      </c>
      <c r="I28" s="5">
        <v>1021869</v>
      </c>
      <c r="J28" s="5">
        <v>1030475</v>
      </c>
      <c r="K28" s="5">
        <v>1040859</v>
      </c>
      <c r="L28" s="5">
        <v>1052482</v>
      </c>
      <c r="M28" s="5">
        <v>1060665</v>
      </c>
      <c r="N28" s="5">
        <v>1068778</v>
      </c>
    </row>
    <row r="29" spans="1:14" ht="16">
      <c r="A29" s="26" t="s">
        <v>57</v>
      </c>
      <c r="B29" s="8" t="s">
        <v>141</v>
      </c>
      <c r="C29" s="5">
        <v>1826341</v>
      </c>
      <c r="D29" s="5">
        <v>1826305</v>
      </c>
      <c r="E29" s="5">
        <v>1829542</v>
      </c>
      <c r="F29" s="5">
        <v>1840672</v>
      </c>
      <c r="G29" s="5">
        <v>1853303</v>
      </c>
      <c r="H29" s="5">
        <v>1865279</v>
      </c>
      <c r="I29" s="5">
        <v>1879321</v>
      </c>
      <c r="J29" s="5">
        <v>1891277</v>
      </c>
      <c r="K29" s="5">
        <v>1905616</v>
      </c>
      <c r="L29" s="5">
        <v>1915947</v>
      </c>
      <c r="M29" s="5">
        <v>1925614</v>
      </c>
      <c r="N29" s="5">
        <v>1934408</v>
      </c>
    </row>
    <row r="30" spans="1:14" ht="16">
      <c r="A30" s="26" t="s">
        <v>59</v>
      </c>
      <c r="B30" s="8" t="s">
        <v>142</v>
      </c>
      <c r="C30" s="5">
        <v>2700551</v>
      </c>
      <c r="D30" s="5">
        <v>2700677</v>
      </c>
      <c r="E30" s="5">
        <v>2702405</v>
      </c>
      <c r="F30" s="5">
        <v>2712730</v>
      </c>
      <c r="G30" s="5">
        <v>2743996</v>
      </c>
      <c r="H30" s="5">
        <v>2775970</v>
      </c>
      <c r="I30" s="5">
        <v>2817628</v>
      </c>
      <c r="J30" s="5">
        <v>2866939</v>
      </c>
      <c r="K30" s="5">
        <v>2917563</v>
      </c>
      <c r="L30" s="5">
        <v>2969905</v>
      </c>
      <c r="M30" s="5">
        <v>3027341</v>
      </c>
      <c r="N30" s="5">
        <v>3080156</v>
      </c>
    </row>
    <row r="31" spans="1:14" ht="16">
      <c r="A31" s="26" t="s">
        <v>61</v>
      </c>
      <c r="B31" s="8" t="s">
        <v>143</v>
      </c>
      <c r="C31" s="5">
        <v>1316470</v>
      </c>
      <c r="D31" s="5">
        <v>1316462</v>
      </c>
      <c r="E31" s="5">
        <v>1316762</v>
      </c>
      <c r="F31" s="5">
        <v>1320202</v>
      </c>
      <c r="G31" s="5">
        <v>1324232</v>
      </c>
      <c r="H31" s="5">
        <v>1326622</v>
      </c>
      <c r="I31" s="5">
        <v>1333341</v>
      </c>
      <c r="J31" s="5">
        <v>1336350</v>
      </c>
      <c r="K31" s="5">
        <v>1342307</v>
      </c>
      <c r="L31" s="5">
        <v>1348787</v>
      </c>
      <c r="M31" s="5">
        <v>1353465</v>
      </c>
      <c r="N31" s="5">
        <v>1359711</v>
      </c>
    </row>
    <row r="32" spans="1:14" ht="16">
      <c r="A32" s="26" t="s">
        <v>63</v>
      </c>
      <c r="B32" s="8" t="s">
        <v>144</v>
      </c>
      <c r="C32" s="5">
        <v>8791894</v>
      </c>
      <c r="D32" s="5">
        <v>8791978</v>
      </c>
      <c r="E32" s="5">
        <v>8799446</v>
      </c>
      <c r="F32" s="5">
        <v>8828117</v>
      </c>
      <c r="G32" s="5">
        <v>8844942</v>
      </c>
      <c r="H32" s="5">
        <v>8856972</v>
      </c>
      <c r="I32" s="5">
        <v>8864525</v>
      </c>
      <c r="J32" s="5">
        <v>8867949</v>
      </c>
      <c r="K32" s="5">
        <v>8870827</v>
      </c>
      <c r="L32" s="5">
        <v>8885525</v>
      </c>
      <c r="M32" s="5">
        <v>8886025</v>
      </c>
      <c r="N32" s="5">
        <v>8882190</v>
      </c>
    </row>
    <row r="33" spans="1:14" ht="16">
      <c r="A33" s="26" t="s">
        <v>65</v>
      </c>
      <c r="B33" s="8" t="s">
        <v>145</v>
      </c>
      <c r="C33" s="5">
        <v>2059179</v>
      </c>
      <c r="D33" s="5">
        <v>2059199</v>
      </c>
      <c r="E33" s="5">
        <v>2064552</v>
      </c>
      <c r="F33" s="5">
        <v>2080450</v>
      </c>
      <c r="G33" s="5">
        <v>2087309</v>
      </c>
      <c r="H33" s="5">
        <v>2092273</v>
      </c>
      <c r="I33" s="5">
        <v>2089568</v>
      </c>
      <c r="J33" s="5">
        <v>2089291</v>
      </c>
      <c r="K33" s="5">
        <v>2091630</v>
      </c>
      <c r="L33" s="5">
        <v>2091784</v>
      </c>
      <c r="M33" s="5">
        <v>2092741</v>
      </c>
      <c r="N33" s="5">
        <v>2096829</v>
      </c>
    </row>
    <row r="34" spans="1:14" ht="16">
      <c r="A34" s="26" t="s">
        <v>67</v>
      </c>
      <c r="B34" s="8" t="s">
        <v>146</v>
      </c>
      <c r="C34" s="5">
        <v>19378102</v>
      </c>
      <c r="D34" s="5">
        <v>19378144</v>
      </c>
      <c r="E34" s="5">
        <v>19399878</v>
      </c>
      <c r="F34" s="5">
        <v>19499241</v>
      </c>
      <c r="G34" s="5">
        <v>19572932</v>
      </c>
      <c r="H34" s="5">
        <v>19624447</v>
      </c>
      <c r="I34" s="5">
        <v>19651049</v>
      </c>
      <c r="J34" s="5">
        <v>19654666</v>
      </c>
      <c r="K34" s="5">
        <v>19633428</v>
      </c>
      <c r="L34" s="5">
        <v>19589572</v>
      </c>
      <c r="M34" s="5">
        <v>19530351</v>
      </c>
      <c r="N34" s="5">
        <v>19453561</v>
      </c>
    </row>
    <row r="35" spans="1:14" ht="16">
      <c r="A35" s="26" t="s">
        <v>69</v>
      </c>
      <c r="B35" s="8" t="s">
        <v>147</v>
      </c>
      <c r="C35" s="5">
        <v>9535483</v>
      </c>
      <c r="D35" s="5">
        <v>9535751</v>
      </c>
      <c r="E35" s="5">
        <v>9574323</v>
      </c>
      <c r="F35" s="5">
        <v>9657592</v>
      </c>
      <c r="G35" s="5">
        <v>9749476</v>
      </c>
      <c r="H35" s="5">
        <v>9843336</v>
      </c>
      <c r="I35" s="5">
        <v>9932887</v>
      </c>
      <c r="J35" s="5">
        <v>10031646</v>
      </c>
      <c r="K35" s="5">
        <v>10154788</v>
      </c>
      <c r="L35" s="5">
        <v>10268233</v>
      </c>
      <c r="M35" s="5">
        <v>10381615</v>
      </c>
      <c r="N35" s="5">
        <v>10488084</v>
      </c>
    </row>
    <row r="36" spans="1:14" ht="16">
      <c r="A36" s="26" t="s">
        <v>71</v>
      </c>
      <c r="B36" s="8" t="s">
        <v>148</v>
      </c>
      <c r="C36" s="5">
        <v>672591</v>
      </c>
      <c r="D36" s="5">
        <v>672576</v>
      </c>
      <c r="E36" s="5">
        <v>674715</v>
      </c>
      <c r="F36" s="5">
        <v>685225</v>
      </c>
      <c r="G36" s="5">
        <v>701176</v>
      </c>
      <c r="H36" s="5">
        <v>722036</v>
      </c>
      <c r="I36" s="5">
        <v>737401</v>
      </c>
      <c r="J36" s="5">
        <v>754066</v>
      </c>
      <c r="K36" s="5">
        <v>754434</v>
      </c>
      <c r="L36" s="5">
        <v>754942</v>
      </c>
      <c r="M36" s="5">
        <v>758080</v>
      </c>
      <c r="N36" s="5">
        <v>762062</v>
      </c>
    </row>
    <row r="37" spans="1:14" ht="16">
      <c r="A37" s="26" t="s">
        <v>73</v>
      </c>
      <c r="B37" s="8" t="s">
        <v>149</v>
      </c>
      <c r="C37" s="5">
        <v>11536504</v>
      </c>
      <c r="D37" s="5">
        <v>11536751</v>
      </c>
      <c r="E37" s="5">
        <v>11539336</v>
      </c>
      <c r="F37" s="5">
        <v>11544663</v>
      </c>
      <c r="G37" s="5">
        <v>11548923</v>
      </c>
      <c r="H37" s="5">
        <v>11576684</v>
      </c>
      <c r="I37" s="5">
        <v>11602700</v>
      </c>
      <c r="J37" s="5">
        <v>11617527</v>
      </c>
      <c r="K37" s="5">
        <v>11634370</v>
      </c>
      <c r="L37" s="5">
        <v>11659650</v>
      </c>
      <c r="M37" s="5">
        <v>11676341</v>
      </c>
      <c r="N37" s="5">
        <v>11689100</v>
      </c>
    </row>
    <row r="38" spans="1:14" ht="16">
      <c r="A38" s="26" t="s">
        <v>75</v>
      </c>
      <c r="B38" s="8" t="s">
        <v>150</v>
      </c>
      <c r="C38" s="5">
        <v>3751351</v>
      </c>
      <c r="D38" s="5">
        <v>3751582</v>
      </c>
      <c r="E38" s="5">
        <v>3759944</v>
      </c>
      <c r="F38" s="5">
        <v>3788379</v>
      </c>
      <c r="G38" s="5">
        <v>3818814</v>
      </c>
      <c r="H38" s="5">
        <v>3853214</v>
      </c>
      <c r="I38" s="5">
        <v>3878187</v>
      </c>
      <c r="J38" s="5">
        <v>3909500</v>
      </c>
      <c r="K38" s="5">
        <v>3926331</v>
      </c>
      <c r="L38" s="5">
        <v>3931316</v>
      </c>
      <c r="M38" s="5">
        <v>3940235</v>
      </c>
      <c r="N38" s="5">
        <v>3956971</v>
      </c>
    </row>
    <row r="39" spans="1:14" ht="16">
      <c r="A39" s="26" t="s">
        <v>77</v>
      </c>
      <c r="B39" s="8" t="s">
        <v>151</v>
      </c>
      <c r="C39" s="5">
        <v>3831074</v>
      </c>
      <c r="D39" s="5">
        <v>3831079</v>
      </c>
      <c r="E39" s="5">
        <v>3837491</v>
      </c>
      <c r="F39" s="5">
        <v>3872036</v>
      </c>
      <c r="G39" s="5">
        <v>3899001</v>
      </c>
      <c r="H39" s="5">
        <v>3922468</v>
      </c>
      <c r="I39" s="5">
        <v>3963244</v>
      </c>
      <c r="J39" s="5">
        <v>4015792</v>
      </c>
      <c r="K39" s="5">
        <v>4089976</v>
      </c>
      <c r="L39" s="5">
        <v>4143625</v>
      </c>
      <c r="M39" s="5">
        <v>4181886</v>
      </c>
      <c r="N39" s="5">
        <v>4217737</v>
      </c>
    </row>
    <row r="40" spans="1:14" ht="16">
      <c r="A40" s="26" t="s">
        <v>79</v>
      </c>
      <c r="B40" s="8" t="s">
        <v>152</v>
      </c>
      <c r="C40" s="5">
        <v>12702379</v>
      </c>
      <c r="D40" s="5">
        <v>12702868</v>
      </c>
      <c r="E40" s="5">
        <v>12711160</v>
      </c>
      <c r="F40" s="5">
        <v>12745815</v>
      </c>
      <c r="G40" s="5">
        <v>12767118</v>
      </c>
      <c r="H40" s="5">
        <v>12776309</v>
      </c>
      <c r="I40" s="5">
        <v>12788313</v>
      </c>
      <c r="J40" s="5">
        <v>12784826</v>
      </c>
      <c r="K40" s="5">
        <v>12782275</v>
      </c>
      <c r="L40" s="5">
        <v>12787641</v>
      </c>
      <c r="M40" s="5">
        <v>12800922</v>
      </c>
      <c r="N40" s="5">
        <v>12801989</v>
      </c>
    </row>
    <row r="41" spans="1:14" ht="16">
      <c r="A41" s="26" t="s">
        <v>81</v>
      </c>
      <c r="B41" s="8" t="s">
        <v>153</v>
      </c>
      <c r="C41" s="5">
        <v>1052567</v>
      </c>
      <c r="D41" s="5">
        <v>1052964</v>
      </c>
      <c r="E41" s="5">
        <v>1053959</v>
      </c>
      <c r="F41" s="5">
        <v>1053649</v>
      </c>
      <c r="G41" s="5">
        <v>1054621</v>
      </c>
      <c r="H41" s="5">
        <v>1055081</v>
      </c>
      <c r="I41" s="5">
        <v>1055936</v>
      </c>
      <c r="J41" s="5">
        <v>1056065</v>
      </c>
      <c r="K41" s="5">
        <v>1056770</v>
      </c>
      <c r="L41" s="5">
        <v>1055673</v>
      </c>
      <c r="M41" s="5">
        <v>1058287</v>
      </c>
      <c r="N41" s="5">
        <v>1059361</v>
      </c>
    </row>
    <row r="42" spans="1:14" ht="16">
      <c r="A42" s="26" t="s">
        <v>83</v>
      </c>
      <c r="B42" s="8" t="s">
        <v>154</v>
      </c>
      <c r="C42" s="5">
        <v>4625364</v>
      </c>
      <c r="D42" s="5">
        <v>4625366</v>
      </c>
      <c r="E42" s="5">
        <v>4635649</v>
      </c>
      <c r="F42" s="5">
        <v>4671994</v>
      </c>
      <c r="G42" s="5">
        <v>4717354</v>
      </c>
      <c r="H42" s="5">
        <v>4764080</v>
      </c>
      <c r="I42" s="5">
        <v>4823617</v>
      </c>
      <c r="J42" s="5">
        <v>4891938</v>
      </c>
      <c r="K42" s="5">
        <v>4957968</v>
      </c>
      <c r="L42" s="5">
        <v>5021268</v>
      </c>
      <c r="M42" s="5">
        <v>5084156</v>
      </c>
      <c r="N42" s="5">
        <v>5148714</v>
      </c>
    </row>
    <row r="43" spans="1:14" ht="16">
      <c r="A43" s="26" t="s">
        <v>85</v>
      </c>
      <c r="B43" s="8" t="s">
        <v>155</v>
      </c>
      <c r="C43" s="5">
        <v>814180</v>
      </c>
      <c r="D43" s="5">
        <v>814198</v>
      </c>
      <c r="E43" s="5">
        <v>816166</v>
      </c>
      <c r="F43" s="5">
        <v>823579</v>
      </c>
      <c r="G43" s="5">
        <v>833566</v>
      </c>
      <c r="H43" s="5">
        <v>842316</v>
      </c>
      <c r="I43" s="5">
        <v>849129</v>
      </c>
      <c r="J43" s="5">
        <v>853988</v>
      </c>
      <c r="K43" s="5">
        <v>862996</v>
      </c>
      <c r="L43" s="5">
        <v>872868</v>
      </c>
      <c r="M43" s="5">
        <v>878698</v>
      </c>
      <c r="N43" s="5">
        <v>884659</v>
      </c>
    </row>
    <row r="44" spans="1:14" ht="16">
      <c r="A44" s="26" t="s">
        <v>87</v>
      </c>
      <c r="B44" s="8" t="s">
        <v>156</v>
      </c>
      <c r="C44" s="5">
        <v>6346105</v>
      </c>
      <c r="D44" s="5">
        <v>6346276</v>
      </c>
      <c r="E44" s="5">
        <v>6355311</v>
      </c>
      <c r="F44" s="5">
        <v>6399291</v>
      </c>
      <c r="G44" s="5">
        <v>6453898</v>
      </c>
      <c r="H44" s="5">
        <v>6494340</v>
      </c>
      <c r="I44" s="5">
        <v>6541223</v>
      </c>
      <c r="J44" s="5">
        <v>6591170</v>
      </c>
      <c r="K44" s="5">
        <v>6646010</v>
      </c>
      <c r="L44" s="5">
        <v>6708799</v>
      </c>
      <c r="M44" s="5">
        <v>6771631</v>
      </c>
      <c r="N44" s="5">
        <v>6829174</v>
      </c>
    </row>
    <row r="45" spans="1:14" ht="16">
      <c r="A45" s="26" t="s">
        <v>89</v>
      </c>
      <c r="B45" s="8" t="s">
        <v>157</v>
      </c>
      <c r="C45" s="5">
        <v>25145561</v>
      </c>
      <c r="D45" s="5">
        <v>25146091</v>
      </c>
      <c r="E45" s="5">
        <v>25241971</v>
      </c>
      <c r="F45" s="5">
        <v>25645629</v>
      </c>
      <c r="G45" s="5">
        <v>26084481</v>
      </c>
      <c r="H45" s="5">
        <v>26480266</v>
      </c>
      <c r="I45" s="5">
        <v>26964333</v>
      </c>
      <c r="J45" s="5">
        <v>27470056</v>
      </c>
      <c r="K45" s="5">
        <v>27914410</v>
      </c>
      <c r="L45" s="5">
        <v>28295273</v>
      </c>
      <c r="M45" s="5">
        <v>28628666</v>
      </c>
      <c r="N45" s="5">
        <v>28995881</v>
      </c>
    </row>
    <row r="46" spans="1:14" ht="16">
      <c r="A46" s="26" t="s">
        <v>91</v>
      </c>
      <c r="B46" s="8" t="s">
        <v>158</v>
      </c>
      <c r="C46" s="5">
        <v>2763885</v>
      </c>
      <c r="D46" s="5">
        <v>2763891</v>
      </c>
      <c r="E46" s="5">
        <v>2775332</v>
      </c>
      <c r="F46" s="5">
        <v>2814384</v>
      </c>
      <c r="G46" s="5">
        <v>2853375</v>
      </c>
      <c r="H46" s="5">
        <v>2897640</v>
      </c>
      <c r="I46" s="5">
        <v>2936879</v>
      </c>
      <c r="J46" s="5">
        <v>2981835</v>
      </c>
      <c r="K46" s="5">
        <v>3041868</v>
      </c>
      <c r="L46" s="5">
        <v>3101042</v>
      </c>
      <c r="M46" s="5">
        <v>3153550</v>
      </c>
      <c r="N46" s="5">
        <v>3205958</v>
      </c>
    </row>
    <row r="47" spans="1:14" ht="16">
      <c r="A47" s="26" t="s">
        <v>93</v>
      </c>
      <c r="B47" s="8" t="s">
        <v>159</v>
      </c>
      <c r="C47" s="5">
        <v>625741</v>
      </c>
      <c r="D47" s="5">
        <v>625737</v>
      </c>
      <c r="E47" s="5">
        <v>625879</v>
      </c>
      <c r="F47" s="5">
        <v>627049</v>
      </c>
      <c r="G47" s="5">
        <v>626090</v>
      </c>
      <c r="H47" s="5">
        <v>626210</v>
      </c>
      <c r="I47" s="5">
        <v>625214</v>
      </c>
      <c r="J47" s="5">
        <v>625216</v>
      </c>
      <c r="K47" s="5">
        <v>623657</v>
      </c>
      <c r="L47" s="5">
        <v>624344</v>
      </c>
      <c r="M47" s="5">
        <v>624358</v>
      </c>
      <c r="N47" s="5">
        <v>623989</v>
      </c>
    </row>
    <row r="48" spans="1:14" ht="16">
      <c r="A48" s="26" t="s">
        <v>95</v>
      </c>
      <c r="B48" s="8" t="s">
        <v>160</v>
      </c>
      <c r="C48" s="5">
        <v>8001024</v>
      </c>
      <c r="D48" s="5">
        <v>8001049</v>
      </c>
      <c r="E48" s="5">
        <v>8023699</v>
      </c>
      <c r="F48" s="5">
        <v>8101155</v>
      </c>
      <c r="G48" s="5">
        <v>8185080</v>
      </c>
      <c r="H48" s="5">
        <v>8252427</v>
      </c>
      <c r="I48" s="5">
        <v>8310993</v>
      </c>
      <c r="J48" s="5">
        <v>8361808</v>
      </c>
      <c r="K48" s="5">
        <v>8410106</v>
      </c>
      <c r="L48" s="5">
        <v>8463587</v>
      </c>
      <c r="M48" s="5">
        <v>8501286</v>
      </c>
      <c r="N48" s="5">
        <v>8535519</v>
      </c>
    </row>
    <row r="49" spans="1:14" ht="16">
      <c r="A49" s="26" t="s">
        <v>97</v>
      </c>
      <c r="B49" s="8" t="s">
        <v>161</v>
      </c>
      <c r="C49" s="5">
        <v>6724540</v>
      </c>
      <c r="D49" s="5">
        <v>6724540</v>
      </c>
      <c r="E49" s="5">
        <v>6742830</v>
      </c>
      <c r="F49" s="5">
        <v>6826627</v>
      </c>
      <c r="G49" s="5">
        <v>6897058</v>
      </c>
      <c r="H49" s="5">
        <v>6963985</v>
      </c>
      <c r="I49" s="5">
        <v>7054655</v>
      </c>
      <c r="J49" s="5">
        <v>7163657</v>
      </c>
      <c r="K49" s="5">
        <v>7294771</v>
      </c>
      <c r="L49" s="5">
        <v>7423362</v>
      </c>
      <c r="M49" s="5">
        <v>7523869</v>
      </c>
      <c r="N49" s="5">
        <v>7614893</v>
      </c>
    </row>
    <row r="50" spans="1:14" ht="16">
      <c r="A50" s="26" t="s">
        <v>99</v>
      </c>
      <c r="B50" s="8" t="s">
        <v>162</v>
      </c>
      <c r="C50" s="5">
        <v>1852994</v>
      </c>
      <c r="D50" s="5">
        <v>1853018</v>
      </c>
      <c r="E50" s="5">
        <v>1854239</v>
      </c>
      <c r="F50" s="5">
        <v>1856301</v>
      </c>
      <c r="G50" s="5">
        <v>1856872</v>
      </c>
      <c r="H50" s="5">
        <v>1853914</v>
      </c>
      <c r="I50" s="5">
        <v>1849489</v>
      </c>
      <c r="J50" s="5">
        <v>1842050</v>
      </c>
      <c r="K50" s="5">
        <v>1831023</v>
      </c>
      <c r="L50" s="5">
        <v>1817004</v>
      </c>
      <c r="M50" s="5">
        <v>1804291</v>
      </c>
      <c r="N50" s="5">
        <v>1792147</v>
      </c>
    </row>
    <row r="51" spans="1:14" ht="16">
      <c r="A51" s="26" t="s">
        <v>101</v>
      </c>
      <c r="B51" s="8" t="s">
        <v>163</v>
      </c>
      <c r="C51" s="5">
        <v>5686986</v>
      </c>
      <c r="D51" s="5">
        <v>5687285</v>
      </c>
      <c r="E51" s="5">
        <v>5690475</v>
      </c>
      <c r="F51" s="5">
        <v>5705288</v>
      </c>
      <c r="G51" s="5">
        <v>5719960</v>
      </c>
      <c r="H51" s="5">
        <v>5736754</v>
      </c>
      <c r="I51" s="5">
        <v>5751525</v>
      </c>
      <c r="J51" s="5">
        <v>5760940</v>
      </c>
      <c r="K51" s="5">
        <v>5772628</v>
      </c>
      <c r="L51" s="5">
        <v>5790186</v>
      </c>
      <c r="M51" s="5">
        <v>5807406</v>
      </c>
      <c r="N51" s="5">
        <v>5822434</v>
      </c>
    </row>
    <row r="52" spans="1:14" ht="16">
      <c r="A52" s="26" t="s">
        <v>103</v>
      </c>
      <c r="B52" s="8" t="s">
        <v>164</v>
      </c>
      <c r="C52" s="5">
        <v>563626</v>
      </c>
      <c r="D52" s="5">
        <v>563775</v>
      </c>
      <c r="E52" s="5">
        <v>564487</v>
      </c>
      <c r="F52" s="5">
        <v>567299</v>
      </c>
      <c r="G52" s="5">
        <v>576305</v>
      </c>
      <c r="H52" s="5">
        <v>582122</v>
      </c>
      <c r="I52" s="5">
        <v>582531</v>
      </c>
      <c r="J52" s="5">
        <v>585613</v>
      </c>
      <c r="K52" s="5">
        <v>584215</v>
      </c>
      <c r="L52" s="5">
        <v>578931</v>
      </c>
      <c r="M52" s="5">
        <v>577601</v>
      </c>
      <c r="N52" s="5">
        <v>578759</v>
      </c>
    </row>
    <row r="53" spans="1:14">
      <c r="A53" s="26"/>
      <c r="B53" s="8"/>
      <c r="C53" s="5"/>
      <c r="D53" s="5"/>
      <c r="E53" s="5"/>
      <c r="F53" s="5"/>
      <c r="G53" s="5"/>
      <c r="H53" s="5"/>
      <c r="I53" s="5"/>
      <c r="J53" s="5"/>
      <c r="K53" s="5"/>
      <c r="L53" s="5"/>
      <c r="M53" s="5"/>
      <c r="N53" s="5"/>
    </row>
    <row r="54" spans="1:14">
      <c r="B54" s="17" t="s">
        <v>165</v>
      </c>
      <c r="C54" s="5">
        <v>601723</v>
      </c>
      <c r="D54" s="5">
        <v>601767</v>
      </c>
      <c r="E54" s="5">
        <v>605226</v>
      </c>
      <c r="F54" s="5">
        <v>619800</v>
      </c>
      <c r="G54" s="5">
        <v>634924</v>
      </c>
      <c r="H54" s="5">
        <v>650581</v>
      </c>
      <c r="I54" s="5">
        <v>662328</v>
      </c>
      <c r="J54" s="5">
        <v>675400</v>
      </c>
      <c r="K54" s="5">
        <v>685815</v>
      </c>
      <c r="L54" s="5">
        <v>694906</v>
      </c>
      <c r="M54" s="5">
        <v>701547</v>
      </c>
      <c r="N54" s="5">
        <v>705749</v>
      </c>
    </row>
    <row r="55" spans="1:14">
      <c r="B55" s="4" t="s">
        <v>166</v>
      </c>
      <c r="C55" s="5">
        <v>55317240</v>
      </c>
      <c r="D55" s="5">
        <v>55318443</v>
      </c>
      <c r="E55" s="5">
        <v>55380134</v>
      </c>
      <c r="F55" s="5">
        <v>55604223</v>
      </c>
      <c r="G55" s="5">
        <v>55775216</v>
      </c>
      <c r="H55" s="5">
        <v>55901806</v>
      </c>
      <c r="I55" s="5">
        <v>56006011</v>
      </c>
      <c r="J55" s="5">
        <v>56034684</v>
      </c>
      <c r="K55" s="5">
        <v>56042330</v>
      </c>
      <c r="L55" s="5">
        <v>56059240</v>
      </c>
      <c r="M55" s="5">
        <v>56046620</v>
      </c>
      <c r="N55" s="5">
        <v>55982803</v>
      </c>
    </row>
    <row r="56" spans="1:14">
      <c r="B56" s="4" t="s">
        <v>167</v>
      </c>
      <c r="C56" s="5">
        <v>66927001</v>
      </c>
      <c r="D56" s="5">
        <v>66929725</v>
      </c>
      <c r="E56" s="5">
        <v>66974416</v>
      </c>
      <c r="F56" s="5">
        <v>67157800</v>
      </c>
      <c r="G56" s="5">
        <v>67336743</v>
      </c>
      <c r="H56" s="5">
        <v>67560379</v>
      </c>
      <c r="I56" s="5">
        <v>67745167</v>
      </c>
      <c r="J56" s="5">
        <v>67860583</v>
      </c>
      <c r="K56" s="5">
        <v>67987540</v>
      </c>
      <c r="L56" s="5">
        <v>68126781</v>
      </c>
      <c r="M56" s="5">
        <v>68236628</v>
      </c>
      <c r="N56" s="5">
        <v>68329004</v>
      </c>
    </row>
    <row r="57" spans="1:14">
      <c r="B57" s="4" t="s">
        <v>168</v>
      </c>
      <c r="C57" s="5">
        <v>114555744</v>
      </c>
      <c r="D57" s="5">
        <v>114563030</v>
      </c>
      <c r="E57" s="5">
        <v>114866680</v>
      </c>
      <c r="F57" s="5">
        <v>116006522</v>
      </c>
      <c r="G57" s="5">
        <v>117241208</v>
      </c>
      <c r="H57" s="5">
        <v>118364400</v>
      </c>
      <c r="I57" s="5">
        <v>119624037</v>
      </c>
      <c r="J57" s="5">
        <v>120997341</v>
      </c>
      <c r="K57" s="5">
        <v>122351760</v>
      </c>
      <c r="L57" s="5">
        <v>123542189</v>
      </c>
      <c r="M57" s="5">
        <v>124569433</v>
      </c>
      <c r="N57" s="5">
        <v>125580448</v>
      </c>
    </row>
    <row r="58" spans="1:14">
      <c r="B58" s="6" t="s">
        <v>169</v>
      </c>
      <c r="C58" s="7">
        <v>71945553</v>
      </c>
      <c r="D58" s="7">
        <v>71946907</v>
      </c>
      <c r="E58" s="7">
        <v>72100436</v>
      </c>
      <c r="F58" s="7">
        <v>72788329</v>
      </c>
      <c r="G58" s="7">
        <v>73477823</v>
      </c>
      <c r="H58" s="7">
        <v>74167130</v>
      </c>
      <c r="I58" s="7">
        <v>74925793</v>
      </c>
      <c r="J58" s="7">
        <v>75742555</v>
      </c>
      <c r="K58" s="7">
        <v>76559681</v>
      </c>
      <c r="L58" s="7">
        <v>77257329</v>
      </c>
      <c r="M58" s="7">
        <v>77834820</v>
      </c>
      <c r="N58" s="7">
        <v>78347268</v>
      </c>
    </row>
    <row r="59" spans="1:14">
      <c r="B59" s="9" t="s">
        <v>170</v>
      </c>
      <c r="C59" s="5">
        <v>3725789</v>
      </c>
      <c r="D59" s="5">
        <v>3726157</v>
      </c>
      <c r="E59" s="5">
        <v>3721525</v>
      </c>
      <c r="F59" s="5">
        <v>3678732</v>
      </c>
      <c r="G59" s="5">
        <v>3634488</v>
      </c>
      <c r="H59" s="5">
        <v>3593077</v>
      </c>
      <c r="I59" s="5">
        <v>3534874</v>
      </c>
      <c r="J59" s="5">
        <v>3473232</v>
      </c>
      <c r="K59" s="5">
        <v>3406672</v>
      </c>
      <c r="L59" s="5">
        <v>3325286</v>
      </c>
      <c r="M59" s="5">
        <v>3193354</v>
      </c>
      <c r="N59" s="5">
        <v>3193694</v>
      </c>
    </row>
    <row r="60" spans="1:14" ht="14.5" customHeight="1">
      <c r="B60" s="55" t="s">
        <v>171</v>
      </c>
      <c r="C60" s="56"/>
      <c r="D60" s="56"/>
      <c r="E60" s="56"/>
      <c r="F60" s="56"/>
      <c r="G60" s="56"/>
      <c r="H60" s="56"/>
      <c r="I60" s="56"/>
      <c r="J60" s="56"/>
      <c r="K60" s="56"/>
      <c r="L60" s="56"/>
      <c r="M60" s="56"/>
      <c r="N60" s="57"/>
    </row>
    <row r="61" spans="1:14">
      <c r="B61" s="52" t="s">
        <v>172</v>
      </c>
      <c r="C61" s="53"/>
      <c r="D61" s="53"/>
      <c r="E61" s="53"/>
      <c r="F61" s="53"/>
      <c r="G61" s="53"/>
      <c r="H61" s="53"/>
      <c r="I61" s="53"/>
      <c r="J61" s="53"/>
      <c r="K61" s="53"/>
      <c r="L61" s="53"/>
      <c r="M61" s="53"/>
      <c r="N61" s="54"/>
    </row>
    <row r="62" spans="1:14">
      <c r="B62" s="46" t="s">
        <v>173</v>
      </c>
      <c r="C62" s="47"/>
      <c r="D62" s="47"/>
      <c r="E62" s="47"/>
      <c r="F62" s="47"/>
      <c r="G62" s="47"/>
      <c r="H62" s="47"/>
      <c r="I62" s="47"/>
      <c r="J62" s="47"/>
      <c r="K62" s="47"/>
      <c r="L62" s="47"/>
      <c r="M62" s="47"/>
      <c r="N62" s="48"/>
    </row>
    <row r="63" spans="1:14">
      <c r="B63" s="46" t="s">
        <v>174</v>
      </c>
      <c r="C63" s="47"/>
      <c r="D63" s="47"/>
      <c r="E63" s="47"/>
      <c r="F63" s="47"/>
      <c r="G63" s="47"/>
      <c r="H63" s="47"/>
      <c r="I63" s="47"/>
      <c r="J63" s="47"/>
      <c r="K63" s="47"/>
      <c r="L63" s="47"/>
      <c r="M63" s="47"/>
      <c r="N63" s="48"/>
    </row>
    <row r="64" spans="1:14">
      <c r="B64" s="49" t="s">
        <v>175</v>
      </c>
      <c r="C64" s="50"/>
      <c r="D64" s="50"/>
      <c r="E64" s="50"/>
      <c r="F64" s="50"/>
      <c r="G64" s="50"/>
      <c r="H64" s="50"/>
      <c r="I64" s="50"/>
      <c r="J64" s="50"/>
      <c r="K64" s="50"/>
      <c r="L64" s="50"/>
      <c r="M64" s="50"/>
      <c r="N64" s="51"/>
    </row>
  </sheetData>
  <mergeCells count="5">
    <mergeCell ref="B63:N63"/>
    <mergeCell ref="B64:N64"/>
    <mergeCell ref="B61:N61"/>
    <mergeCell ref="B60:N60"/>
    <mergeCell ref="B62:N6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477D-0635-45DE-A01A-4D89967CD620}">
  <dimension ref="A1:R228"/>
  <sheetViews>
    <sheetView topLeftCell="F17" zoomScale="144" workbookViewId="0">
      <selection activeCell="P8" sqref="P8"/>
    </sheetView>
  </sheetViews>
  <sheetFormatPr baseColWidth="10" defaultColWidth="8.83203125" defaultRowHeight="15"/>
  <cols>
    <col min="1" max="1" width="17.5" style="38" customWidth="1"/>
    <col min="6" max="6" width="33.5" style="38" customWidth="1"/>
    <col min="14" max="14" width="12.5" customWidth="1"/>
  </cols>
  <sheetData>
    <row r="1" spans="1:18">
      <c r="A1" s="63" t="s">
        <v>176</v>
      </c>
      <c r="B1" s="63"/>
      <c r="C1" s="63"/>
      <c r="D1" s="63"/>
      <c r="F1" s="63" t="s">
        <v>177</v>
      </c>
      <c r="G1" s="63"/>
      <c r="H1" s="63"/>
      <c r="I1" s="63"/>
      <c r="K1" s="63" t="s">
        <v>178</v>
      </c>
      <c r="L1" s="63"/>
      <c r="M1" s="63"/>
      <c r="N1" s="63"/>
    </row>
    <row r="2" spans="1:18" ht="16" thickBot="1">
      <c r="A2" s="58" t="s">
        <v>179</v>
      </c>
      <c r="B2" s="59" t="s">
        <v>180</v>
      </c>
      <c r="C2" s="59" t="s">
        <v>181</v>
      </c>
      <c r="D2" s="61" t="s">
        <v>106</v>
      </c>
      <c r="F2" s="64" t="s">
        <v>182</v>
      </c>
      <c r="G2" s="59" t="s">
        <v>181</v>
      </c>
      <c r="H2" s="59" t="s">
        <v>180</v>
      </c>
      <c r="I2" s="59" t="s">
        <v>106</v>
      </c>
      <c r="K2" s="58" t="s">
        <v>179</v>
      </c>
      <c r="L2" s="59" t="s">
        <v>180</v>
      </c>
      <c r="M2" s="59" t="s">
        <v>181</v>
      </c>
      <c r="N2" s="61" t="s">
        <v>106</v>
      </c>
      <c r="O2" s="41"/>
      <c r="P2" s="15"/>
      <c r="Q2" s="42"/>
      <c r="R2" s="42"/>
    </row>
    <row r="3" spans="1:18" ht="16" thickBot="1">
      <c r="A3" s="58"/>
      <c r="B3" s="60"/>
      <c r="C3" s="60"/>
      <c r="D3" s="62"/>
      <c r="F3" s="65"/>
      <c r="G3" s="60"/>
      <c r="H3" s="60"/>
      <c r="I3" s="60"/>
      <c r="K3" s="58"/>
      <c r="L3" s="60"/>
      <c r="M3" s="60"/>
      <c r="N3" s="62"/>
      <c r="O3" s="41"/>
    </row>
    <row r="4" spans="1:18" ht="22" thickBot="1">
      <c r="A4" s="36" t="s">
        <v>183</v>
      </c>
      <c r="B4" s="30">
        <v>11</v>
      </c>
      <c r="C4" s="30" t="s">
        <v>184</v>
      </c>
      <c r="D4" s="31">
        <v>3.5379429999999998</v>
      </c>
      <c r="F4" s="37" t="str">
        <f>VLOOKUP(H4, 'Sector Codes'!B$2:C$74, 2, FALSE)</f>
        <v>Wood products (e.g. plywood, veneer)</v>
      </c>
      <c r="G4" s="30" t="s">
        <v>185</v>
      </c>
      <c r="H4" s="30">
        <v>321</v>
      </c>
      <c r="I4" s="33">
        <v>0.15900079</v>
      </c>
      <c r="K4" t="s">
        <v>185</v>
      </c>
      <c r="L4" t="s">
        <v>186</v>
      </c>
      <c r="M4" t="s">
        <v>187</v>
      </c>
      <c r="N4">
        <v>5.2150999878445097</v>
      </c>
      <c r="O4" s="41"/>
    </row>
    <row r="5" spans="1:18" ht="22" thickBot="1">
      <c r="A5" s="36" t="s">
        <v>183</v>
      </c>
      <c r="B5" s="30">
        <v>11</v>
      </c>
      <c r="C5" s="30" t="s">
        <v>188</v>
      </c>
      <c r="D5" s="31">
        <v>3.2874979999999998</v>
      </c>
      <c r="F5" s="37" t="str">
        <f>VLOOKUP(H5, 'Sector Codes'!B$2:C$74, 2, FALSE)</f>
        <v>Clay, glass, cement, concrete, and other nonmetallic mineral products</v>
      </c>
      <c r="G5" s="30" t="s">
        <v>185</v>
      </c>
      <c r="H5" s="30">
        <v>327</v>
      </c>
      <c r="I5" s="33">
        <v>0.41230007000000002</v>
      </c>
      <c r="K5" t="s">
        <v>184</v>
      </c>
      <c r="L5" t="s">
        <v>186</v>
      </c>
      <c r="M5" t="s">
        <v>187</v>
      </c>
      <c r="N5">
        <v>3.6813593426673301</v>
      </c>
      <c r="O5" s="41"/>
    </row>
    <row r="6" spans="1:18" ht="22" thickBot="1">
      <c r="A6" s="36" t="s">
        <v>183</v>
      </c>
      <c r="B6" s="30">
        <v>11</v>
      </c>
      <c r="C6" s="30" t="s">
        <v>13</v>
      </c>
      <c r="D6" s="31">
        <v>5.7477980000000004</v>
      </c>
      <c r="F6" s="37" t="str">
        <f>VLOOKUP(H6, 'Sector Codes'!B$2:C$74, 2, FALSE)</f>
        <v>Primary and secondary ferrous and nonferrous metals</v>
      </c>
      <c r="G6" s="30" t="s">
        <v>185</v>
      </c>
      <c r="H6" s="30">
        <v>331</v>
      </c>
      <c r="I6" s="33">
        <v>2.2113150000000002E-2</v>
      </c>
      <c r="K6" t="s">
        <v>188</v>
      </c>
      <c r="L6" t="s">
        <v>186</v>
      </c>
      <c r="M6" t="s">
        <v>187</v>
      </c>
      <c r="N6">
        <v>2.0466915137231201</v>
      </c>
      <c r="O6" s="41"/>
    </row>
    <row r="7" spans="1:18" ht="21" thickBot="1">
      <c r="A7" s="36" t="s">
        <v>189</v>
      </c>
      <c r="B7" s="30">
        <v>21</v>
      </c>
      <c r="C7" s="30" t="s">
        <v>184</v>
      </c>
      <c r="D7" s="31">
        <v>1.224182E-2</v>
      </c>
      <c r="F7" s="37" t="str">
        <f>VLOOKUP(H7, 'Sector Codes'!B$2:C$74, 2, FALSE)</f>
        <v>Fabricated metal products (e.g. architectural and structural metal products)</v>
      </c>
      <c r="G7" s="30" t="s">
        <v>185</v>
      </c>
      <c r="H7" s="30">
        <v>332</v>
      </c>
      <c r="I7" s="33">
        <v>0.57845232000000002</v>
      </c>
      <c r="K7" t="s">
        <v>185</v>
      </c>
      <c r="L7" t="s">
        <v>190</v>
      </c>
      <c r="M7" t="s">
        <v>187</v>
      </c>
      <c r="N7">
        <v>6.9756667542754697E-2</v>
      </c>
      <c r="O7" s="41"/>
    </row>
    <row r="8" spans="1:18" ht="16" thickBot="1">
      <c r="A8" s="36" t="s">
        <v>189</v>
      </c>
      <c r="B8" s="30">
        <v>21</v>
      </c>
      <c r="C8" s="30" t="s">
        <v>188</v>
      </c>
      <c r="D8" s="31">
        <v>8.3645780000000003E-2</v>
      </c>
      <c r="F8" s="37" t="str">
        <f>VLOOKUP(H8, 'Sector Codes'!B$2:C$74, 2, FALSE)</f>
        <v>Machinery (except computers)</v>
      </c>
      <c r="G8" s="30" t="s">
        <v>185</v>
      </c>
      <c r="H8" s="30">
        <v>333</v>
      </c>
      <c r="I8" s="33">
        <v>2.7811823200000001</v>
      </c>
      <c r="K8" t="s">
        <v>184</v>
      </c>
      <c r="L8" t="s">
        <v>190</v>
      </c>
      <c r="M8" t="s">
        <v>187</v>
      </c>
      <c r="N8">
        <v>1.9924351351684799E-2</v>
      </c>
      <c r="O8" s="41"/>
    </row>
    <row r="9" spans="1:18" ht="21" thickBot="1">
      <c r="A9" s="36" t="s">
        <v>189</v>
      </c>
      <c r="B9" s="30">
        <v>21</v>
      </c>
      <c r="C9" s="30" t="s">
        <v>13</v>
      </c>
      <c r="D9" s="31">
        <v>1.908155</v>
      </c>
      <c r="F9" s="37" t="str">
        <f>VLOOKUP(H9, 'Sector Codes'!B$2:C$74, 2, FALSE)</f>
        <v>Computers and relevant parts, conductors, measuring devices, communication devices</v>
      </c>
      <c r="G9" s="30" t="s">
        <v>185</v>
      </c>
      <c r="H9" s="30">
        <v>334</v>
      </c>
      <c r="I9" s="33">
        <v>2.2469006899999999</v>
      </c>
      <c r="K9" t="s">
        <v>188</v>
      </c>
      <c r="L9" t="s">
        <v>190</v>
      </c>
      <c r="M9" t="s">
        <v>187</v>
      </c>
      <c r="N9">
        <v>8.3759635365042204E-2</v>
      </c>
      <c r="O9" s="41"/>
    </row>
    <row r="10" spans="1:18" ht="21" thickBot="1">
      <c r="A10" s="36" t="s">
        <v>191</v>
      </c>
      <c r="B10" s="30">
        <v>22</v>
      </c>
      <c r="C10" s="30" t="s">
        <v>184</v>
      </c>
      <c r="D10" s="31">
        <v>10.10205</v>
      </c>
      <c r="F10" s="37" t="str">
        <f>VLOOKUP(H10, 'Sector Codes'!B$2:C$74, 2, FALSE)</f>
        <v>Lights and light fixtures, switch boards, transformers, and home appliances</v>
      </c>
      <c r="G10" s="30" t="s">
        <v>185</v>
      </c>
      <c r="H10" s="30">
        <v>335</v>
      </c>
      <c r="I10" s="33">
        <v>0.53732802999999996</v>
      </c>
      <c r="K10" t="s">
        <v>185</v>
      </c>
      <c r="L10" t="s">
        <v>192</v>
      </c>
      <c r="M10" t="s">
        <v>189</v>
      </c>
      <c r="N10">
        <v>0</v>
      </c>
      <c r="O10" s="41"/>
    </row>
    <row r="11" spans="1:18" ht="21" thickBot="1">
      <c r="A11" s="36" t="s">
        <v>191</v>
      </c>
      <c r="B11" s="30">
        <v>22</v>
      </c>
      <c r="C11" s="30" t="s">
        <v>188</v>
      </c>
      <c r="D11" s="31">
        <v>0.27688750000000001</v>
      </c>
      <c r="F11" s="37" t="str">
        <f>VLOOKUP(H11, 'Sector Codes'!B$2:C$74, 2, FALSE)</f>
        <v>On-road vehicles (excluding motorcycles) and accompanying parts</v>
      </c>
      <c r="G11" s="30" t="s">
        <v>185</v>
      </c>
      <c r="H11" s="30" t="s">
        <v>193</v>
      </c>
      <c r="I11" s="33">
        <v>1.67424616</v>
      </c>
      <c r="K11" t="s">
        <v>184</v>
      </c>
      <c r="L11" t="s">
        <v>192</v>
      </c>
      <c r="M11" t="s">
        <v>189</v>
      </c>
      <c r="N11">
        <v>0</v>
      </c>
      <c r="O11" s="41"/>
    </row>
    <row r="12" spans="1:18" ht="21" thickBot="1">
      <c r="A12" s="36" t="s">
        <v>191</v>
      </c>
      <c r="B12" s="30">
        <v>22</v>
      </c>
      <c r="C12" s="30" t="s">
        <v>13</v>
      </c>
      <c r="D12" s="31">
        <v>24.795940000000002</v>
      </c>
      <c r="F12" s="37" t="str">
        <f>VLOOKUP(H12, 'Sector Codes'!B$2:C$74, 2, FALSE)</f>
        <v>Other vehicles (e.g. aircraft, water vessels), missiles, and accompanying parts</v>
      </c>
      <c r="G12" s="30" t="s">
        <v>185</v>
      </c>
      <c r="H12" s="30" t="s">
        <v>194</v>
      </c>
      <c r="I12" s="33">
        <v>1.8279242899999999</v>
      </c>
      <c r="K12" t="s">
        <v>188</v>
      </c>
      <c r="L12" t="s">
        <v>192</v>
      </c>
      <c r="M12" t="s">
        <v>189</v>
      </c>
      <c r="N12">
        <v>0</v>
      </c>
      <c r="O12" s="41"/>
    </row>
    <row r="13" spans="1:18" ht="16" thickBot="1">
      <c r="A13" s="36" t="s">
        <v>195</v>
      </c>
      <c r="B13" s="30">
        <v>23</v>
      </c>
      <c r="C13" s="30" t="s">
        <v>184</v>
      </c>
      <c r="D13" s="31">
        <v>0</v>
      </c>
      <c r="F13" s="37" t="str">
        <f>VLOOKUP(H13, 'Sector Codes'!B$2:C$74, 2, FALSE)</f>
        <v>Furniture and shelving</v>
      </c>
      <c r="G13" s="30" t="s">
        <v>185</v>
      </c>
      <c r="H13" s="30">
        <v>337</v>
      </c>
      <c r="I13" s="33">
        <v>1.39763226</v>
      </c>
      <c r="K13" t="s">
        <v>185</v>
      </c>
      <c r="L13" t="s">
        <v>196</v>
      </c>
      <c r="M13" t="s">
        <v>189</v>
      </c>
      <c r="N13">
        <v>3.4554143643845698E-3</v>
      </c>
      <c r="O13" s="41"/>
    </row>
    <row r="14" spans="1:18" ht="21" thickBot="1">
      <c r="A14" s="36" t="s">
        <v>195</v>
      </c>
      <c r="B14" s="30">
        <v>23</v>
      </c>
      <c r="C14" s="30" t="s">
        <v>188</v>
      </c>
      <c r="D14" s="31">
        <v>0</v>
      </c>
      <c r="F14" s="37" t="str">
        <f>VLOOKUP(H14, 'Sector Codes'!B$2:C$74, 2, FALSE)</f>
        <v>Medical supplies, entertainment and sporting goods, fashion goods, advertising products</v>
      </c>
      <c r="G14" s="30" t="s">
        <v>185</v>
      </c>
      <c r="H14" s="30">
        <v>339</v>
      </c>
      <c r="I14" s="33">
        <v>1.9574654300000001</v>
      </c>
      <c r="K14" t="s">
        <v>184</v>
      </c>
      <c r="L14" t="s">
        <v>196</v>
      </c>
      <c r="M14" t="s">
        <v>189</v>
      </c>
      <c r="N14">
        <v>9.6671594380443992E-3</v>
      </c>
      <c r="O14" s="41"/>
    </row>
    <row r="15" spans="1:18" ht="16" thickBot="1">
      <c r="A15" s="36" t="s">
        <v>195</v>
      </c>
      <c r="B15" s="30">
        <v>23</v>
      </c>
      <c r="C15" s="30" t="s">
        <v>13</v>
      </c>
      <c r="D15" s="31">
        <v>48.334919999999997</v>
      </c>
      <c r="F15" s="37" t="str">
        <f>VLOOKUP(H15, 'Sector Codes'!B$2:C$74, 2, FALSE)</f>
        <v>Food and beverage and tobacco products</v>
      </c>
      <c r="G15" s="30" t="s">
        <v>185</v>
      </c>
      <c r="H15" s="30" t="s">
        <v>197</v>
      </c>
      <c r="I15" s="33">
        <v>30.62320171</v>
      </c>
      <c r="K15" t="s">
        <v>188</v>
      </c>
      <c r="L15" t="s">
        <v>196</v>
      </c>
      <c r="M15" t="s">
        <v>189</v>
      </c>
      <c r="N15">
        <v>1.5017353482251399E-2</v>
      </c>
      <c r="O15" s="41"/>
    </row>
    <row r="16" spans="1:18" ht="16" thickBot="1">
      <c r="A16" s="36" t="s">
        <v>198</v>
      </c>
      <c r="B16" s="30" t="s">
        <v>199</v>
      </c>
      <c r="C16" s="30" t="s">
        <v>184</v>
      </c>
      <c r="D16" s="31">
        <v>35.176490000000001</v>
      </c>
      <c r="F16" s="37" t="str">
        <f>VLOOKUP(H16, 'Sector Codes'!B$2:C$74, 2, FALSE)</f>
        <v>Textiles and textile-derived products (except clothes)</v>
      </c>
      <c r="G16" s="30" t="s">
        <v>185</v>
      </c>
      <c r="H16" s="30" t="s">
        <v>200</v>
      </c>
      <c r="I16" s="33">
        <v>0.45330282999999999</v>
      </c>
      <c r="K16" t="s">
        <v>185</v>
      </c>
      <c r="L16" t="s">
        <v>201</v>
      </c>
      <c r="M16" t="s">
        <v>189</v>
      </c>
      <c r="N16">
        <v>3.3949440432181999</v>
      </c>
      <c r="O16" s="41"/>
    </row>
    <row r="17" spans="1:15" ht="16" thickBot="1">
      <c r="A17" s="36" t="s">
        <v>198</v>
      </c>
      <c r="B17" s="30" t="s">
        <v>199</v>
      </c>
      <c r="C17" s="30" t="s">
        <v>188</v>
      </c>
      <c r="D17" s="31">
        <v>91.323319999999995</v>
      </c>
      <c r="F17" s="37" t="str">
        <f>VLOOKUP(H17, 'Sector Codes'!B$2:C$74, 2, FALSE)</f>
        <v>Clothing and leather</v>
      </c>
      <c r="G17" s="30" t="s">
        <v>185</v>
      </c>
      <c r="H17" s="30" t="s">
        <v>202</v>
      </c>
      <c r="I17" s="33">
        <v>0.23708066</v>
      </c>
      <c r="K17" t="s">
        <v>184</v>
      </c>
      <c r="L17" t="s">
        <v>201</v>
      </c>
      <c r="M17" t="s">
        <v>189</v>
      </c>
      <c r="N17">
        <v>2.6641985313997099E-2</v>
      </c>
      <c r="O17" s="41"/>
    </row>
    <row r="18" spans="1:15" ht="16" thickBot="1">
      <c r="A18" s="36" t="s">
        <v>198</v>
      </c>
      <c r="B18" s="30" t="s">
        <v>199</v>
      </c>
      <c r="C18" s="30" t="s">
        <v>13</v>
      </c>
      <c r="D18" s="31">
        <v>70.776589999999999</v>
      </c>
      <c r="F18" s="37" t="str">
        <f>VLOOKUP(H18, 'Sector Codes'!B$2:C$74, 2, FALSE)</f>
        <v>Paper products and paper production facilities</v>
      </c>
      <c r="G18" s="30" t="s">
        <v>185</v>
      </c>
      <c r="H18" s="30">
        <v>322</v>
      </c>
      <c r="I18" s="33">
        <v>1.0402424699999999</v>
      </c>
      <c r="K18" t="s">
        <v>188</v>
      </c>
      <c r="L18" t="s">
        <v>201</v>
      </c>
      <c r="M18" t="s">
        <v>189</v>
      </c>
      <c r="N18">
        <v>0.13118280365900001</v>
      </c>
      <c r="O18" s="41"/>
    </row>
    <row r="19" spans="1:15" ht="16" thickBot="1">
      <c r="A19" s="36" t="s">
        <v>203</v>
      </c>
      <c r="B19" s="30">
        <v>42</v>
      </c>
      <c r="C19" s="30" t="s">
        <v>184</v>
      </c>
      <c r="D19" s="31">
        <v>10.677339999999999</v>
      </c>
      <c r="F19" s="37" t="str">
        <f>VLOOKUP(H19, 'Sector Codes'!B$2:C$74, 2, FALSE)</f>
        <v>Print media and printing support</v>
      </c>
      <c r="G19" s="30" t="s">
        <v>185</v>
      </c>
      <c r="H19" s="30">
        <v>323</v>
      </c>
      <c r="I19" s="33">
        <v>0.11482156</v>
      </c>
      <c r="K19" t="s">
        <v>185</v>
      </c>
      <c r="L19" t="s">
        <v>204</v>
      </c>
      <c r="M19" t="s">
        <v>191</v>
      </c>
      <c r="N19">
        <v>30.869235392236501</v>
      </c>
      <c r="O19" s="41"/>
    </row>
    <row r="20" spans="1:15" ht="15" customHeight="1" thickBot="1">
      <c r="A20" s="36" t="s">
        <v>203</v>
      </c>
      <c r="B20" s="30">
        <v>42</v>
      </c>
      <c r="C20" s="30" t="s">
        <v>188</v>
      </c>
      <c r="D20" s="31">
        <v>0</v>
      </c>
      <c r="F20" s="37" t="str">
        <f>VLOOKUP(H20, 'Sector Codes'!B$2:C$74, 2, FALSE)</f>
        <v>Petroleum fuels, asphalt, and other petroleum and coal products</v>
      </c>
      <c r="G20" s="30" t="s">
        <v>185</v>
      </c>
      <c r="H20" s="30">
        <v>324</v>
      </c>
      <c r="I20" s="33">
        <v>21.842538399999999</v>
      </c>
      <c r="K20" t="s">
        <v>184</v>
      </c>
      <c r="L20" t="s">
        <v>204</v>
      </c>
      <c r="M20" t="s">
        <v>191</v>
      </c>
      <c r="N20">
        <v>20.445456240769101</v>
      </c>
      <c r="O20" s="41"/>
    </row>
    <row r="21" spans="1:15" ht="21" thickBot="1">
      <c r="A21" s="36" t="s">
        <v>203</v>
      </c>
      <c r="B21" s="30">
        <v>42</v>
      </c>
      <c r="C21" s="30" t="s">
        <v>13</v>
      </c>
      <c r="D21" s="31">
        <v>2.9585520000000001</v>
      </c>
      <c r="F21" s="37" t="str">
        <f>VLOOKUP(H21, 'Sector Codes'!B$2:C$74, 2, FALSE)</f>
        <v>Agricultural, pharmaceutical, industrial, and commercial chemicals</v>
      </c>
      <c r="G21" s="30" t="s">
        <v>185</v>
      </c>
      <c r="H21" s="30">
        <v>325</v>
      </c>
      <c r="I21" s="33">
        <v>6.202445</v>
      </c>
      <c r="K21" t="s">
        <v>188</v>
      </c>
      <c r="L21" t="s">
        <v>204</v>
      </c>
      <c r="M21" t="s">
        <v>191</v>
      </c>
      <c r="N21">
        <v>0.19928720087409399</v>
      </c>
      <c r="O21" s="41"/>
    </row>
    <row r="22" spans="1:15" ht="16" thickBot="1">
      <c r="A22" s="36" t="s">
        <v>205</v>
      </c>
      <c r="B22" s="30" t="s">
        <v>206</v>
      </c>
      <c r="C22" s="30" t="s">
        <v>184</v>
      </c>
      <c r="D22" s="31">
        <v>3.087364</v>
      </c>
      <c r="F22" s="37" t="str">
        <f>VLOOKUP(H22, 'Sector Codes'!B$2:C$74, 2, FALSE)</f>
        <v>Plastics and rubber products</v>
      </c>
      <c r="G22" s="30" t="s">
        <v>185</v>
      </c>
      <c r="H22" s="30">
        <v>326</v>
      </c>
      <c r="I22" s="33">
        <v>0.49130639999999998</v>
      </c>
      <c r="K22" t="s">
        <v>185</v>
      </c>
      <c r="L22" t="s">
        <v>195</v>
      </c>
      <c r="M22" t="s">
        <v>195</v>
      </c>
      <c r="N22">
        <v>36.878671114023703</v>
      </c>
      <c r="O22" s="41"/>
    </row>
    <row r="23" spans="1:15" ht="16" thickBot="1">
      <c r="A23" s="36" t="s">
        <v>205</v>
      </c>
      <c r="B23" s="30" t="s">
        <v>206</v>
      </c>
      <c r="C23" s="30" t="s">
        <v>188</v>
      </c>
      <c r="D23" s="31">
        <v>0</v>
      </c>
      <c r="F23" s="37" t="str">
        <f>VLOOKUP(H23, 'Sector Codes'!B$2:C$74, 2, FALSE)</f>
        <v>Wood products (e.g. plywood, veneer)</v>
      </c>
      <c r="G23" s="30" t="s">
        <v>184</v>
      </c>
      <c r="H23" s="30">
        <v>321</v>
      </c>
      <c r="I23" s="33">
        <v>0.13295288999999999</v>
      </c>
      <c r="K23" t="s">
        <v>184</v>
      </c>
      <c r="L23" t="s">
        <v>195</v>
      </c>
      <c r="M23" t="s">
        <v>195</v>
      </c>
      <c r="N23">
        <v>0</v>
      </c>
      <c r="O23" s="41"/>
    </row>
    <row r="24" spans="1:15" ht="21" thickBot="1">
      <c r="A24" s="36" t="s">
        <v>205</v>
      </c>
      <c r="B24" s="30" t="s">
        <v>206</v>
      </c>
      <c r="C24" s="30" t="s">
        <v>13</v>
      </c>
      <c r="D24" s="31">
        <v>18.597999999999999</v>
      </c>
      <c r="F24" s="37" t="str">
        <f>VLOOKUP(H24, 'Sector Codes'!B$2:C$74, 2, FALSE)</f>
        <v>Clay, glass, cement, concrete, and other nonmetallic mineral products</v>
      </c>
      <c r="G24" s="30" t="s">
        <v>184</v>
      </c>
      <c r="H24" s="30">
        <v>327</v>
      </c>
      <c r="I24" s="33">
        <v>0.17538525999999999</v>
      </c>
      <c r="K24" t="s">
        <v>188</v>
      </c>
      <c r="L24" t="s">
        <v>195</v>
      </c>
      <c r="M24" t="s">
        <v>195</v>
      </c>
      <c r="N24">
        <v>0</v>
      </c>
      <c r="O24" s="41"/>
    </row>
    <row r="25" spans="1:15" ht="16" thickBot="1">
      <c r="A25" s="36" t="s">
        <v>207</v>
      </c>
      <c r="B25" s="30" t="s">
        <v>208</v>
      </c>
      <c r="C25" s="30" t="s">
        <v>184</v>
      </c>
      <c r="D25" s="31">
        <v>14.82118</v>
      </c>
      <c r="F25" s="37" t="str">
        <f>VLOOKUP(H25, 'Sector Codes'!B$2:C$74, 2, FALSE)</f>
        <v>Primary and secondary ferrous and nonferrous metals</v>
      </c>
      <c r="G25" s="30" t="s">
        <v>184</v>
      </c>
      <c r="H25" s="30">
        <v>331</v>
      </c>
      <c r="I25" s="33">
        <v>2.4269039999999999E-2</v>
      </c>
      <c r="K25" t="s">
        <v>185</v>
      </c>
      <c r="L25" t="s">
        <v>209</v>
      </c>
      <c r="M25" t="s">
        <v>198</v>
      </c>
      <c r="N25">
        <v>30.6232017145933</v>
      </c>
      <c r="O25" s="41"/>
    </row>
    <row r="26" spans="1:15" ht="21" thickBot="1">
      <c r="A26" s="36" t="s">
        <v>207</v>
      </c>
      <c r="B26" s="30" t="s">
        <v>208</v>
      </c>
      <c r="C26" s="30" t="s">
        <v>188</v>
      </c>
      <c r="D26" s="31">
        <v>5.8539009999999996</v>
      </c>
      <c r="F26" s="37" t="str">
        <f>VLOOKUP(H26, 'Sector Codes'!B$2:C$74, 2, FALSE)</f>
        <v>Fabricated metal products (e.g. architectural and structural metal products)</v>
      </c>
      <c r="G26" s="30" t="s">
        <v>184</v>
      </c>
      <c r="H26" s="30">
        <v>332</v>
      </c>
      <c r="I26" s="33">
        <v>0.39599765999999997</v>
      </c>
      <c r="K26" t="s">
        <v>184</v>
      </c>
      <c r="L26" t="s">
        <v>209</v>
      </c>
      <c r="M26" t="s">
        <v>198</v>
      </c>
      <c r="N26">
        <v>17.826562745503701</v>
      </c>
      <c r="O26" s="41"/>
    </row>
    <row r="27" spans="1:15" ht="16" thickBot="1">
      <c r="A27" s="36" t="s">
        <v>207</v>
      </c>
      <c r="B27" s="30" t="s">
        <v>208</v>
      </c>
      <c r="C27" s="30" t="s">
        <v>13</v>
      </c>
      <c r="D27" s="31">
        <v>26.618680000000001</v>
      </c>
      <c r="F27" s="37" t="str">
        <f>VLOOKUP(H27, 'Sector Codes'!B$2:C$74, 2, FALSE)</f>
        <v>Machinery (except computers)</v>
      </c>
      <c r="G27" s="30" t="s">
        <v>184</v>
      </c>
      <c r="H27" s="30">
        <v>333</v>
      </c>
      <c r="I27" s="33">
        <v>1.82963202</v>
      </c>
      <c r="K27" t="s">
        <v>188</v>
      </c>
      <c r="L27" t="s">
        <v>209</v>
      </c>
      <c r="M27" t="s">
        <v>198</v>
      </c>
      <c r="N27">
        <v>5.8406934115549696</v>
      </c>
      <c r="O27" s="41"/>
    </row>
    <row r="28" spans="1:15" ht="21" thickBot="1">
      <c r="A28" s="36" t="s">
        <v>210</v>
      </c>
      <c r="B28" s="30">
        <v>51</v>
      </c>
      <c r="C28" s="30" t="s">
        <v>184</v>
      </c>
      <c r="D28" s="31">
        <v>4.7457669999999998</v>
      </c>
      <c r="F28" s="37" t="str">
        <f>VLOOKUP(H28, 'Sector Codes'!B$2:C$74, 2, FALSE)</f>
        <v>Computers and relevant parts, conductors, measuring devices, communication devices</v>
      </c>
      <c r="G28" s="30" t="s">
        <v>184</v>
      </c>
      <c r="H28" s="30">
        <v>334</v>
      </c>
      <c r="I28" s="33">
        <v>1.3961011299999999</v>
      </c>
      <c r="K28" t="s">
        <v>185</v>
      </c>
      <c r="L28" t="s">
        <v>211</v>
      </c>
      <c r="M28" t="s">
        <v>198</v>
      </c>
      <c r="N28">
        <v>0.45330282993895299</v>
      </c>
      <c r="O28" s="41"/>
    </row>
    <row r="29" spans="1:15" ht="21" thickBot="1">
      <c r="A29" s="36" t="s">
        <v>210</v>
      </c>
      <c r="B29" s="30">
        <v>51</v>
      </c>
      <c r="C29" s="30" t="s">
        <v>188</v>
      </c>
      <c r="D29" s="31">
        <v>0.1429581</v>
      </c>
      <c r="F29" s="37" t="str">
        <f>VLOOKUP(H29, 'Sector Codes'!B$2:C$74, 2, FALSE)</f>
        <v>Lights and light fixtures, switch boards, transformers, and home appliances</v>
      </c>
      <c r="G29" s="30" t="s">
        <v>184</v>
      </c>
      <c r="H29" s="30">
        <v>335</v>
      </c>
      <c r="I29" s="33">
        <v>0.97589828000000001</v>
      </c>
      <c r="K29" t="s">
        <v>184</v>
      </c>
      <c r="L29" t="s">
        <v>211</v>
      </c>
      <c r="M29" t="s">
        <v>198</v>
      </c>
      <c r="N29">
        <v>0.53253038316618395</v>
      </c>
      <c r="O29" s="41"/>
    </row>
    <row r="30" spans="1:15" ht="21" thickBot="1">
      <c r="A30" s="36" t="s">
        <v>210</v>
      </c>
      <c r="B30" s="30">
        <v>51</v>
      </c>
      <c r="C30" s="30" t="s">
        <v>13</v>
      </c>
      <c r="D30" s="31">
        <v>5.5744680000000004</v>
      </c>
      <c r="F30" s="37" t="str">
        <f>VLOOKUP(H30, 'Sector Codes'!B$2:C$74, 2, FALSE)</f>
        <v>On-road vehicles (excluding motorcycles) and accompanying parts</v>
      </c>
      <c r="G30" s="30" t="s">
        <v>184</v>
      </c>
      <c r="H30" s="30" t="s">
        <v>193</v>
      </c>
      <c r="I30" s="33">
        <v>4.9715159</v>
      </c>
      <c r="K30" t="s">
        <v>188</v>
      </c>
      <c r="L30" t="s">
        <v>211</v>
      </c>
      <c r="M30" t="s">
        <v>198</v>
      </c>
      <c r="N30">
        <v>1.38288024654785</v>
      </c>
      <c r="O30" s="41"/>
    </row>
    <row r="31" spans="1:15" ht="21" thickBot="1">
      <c r="A31" s="36" t="s">
        <v>212</v>
      </c>
      <c r="B31" s="30">
        <v>6</v>
      </c>
      <c r="C31" s="30" t="s">
        <v>184</v>
      </c>
      <c r="D31" s="31">
        <v>7.2025119999999996</v>
      </c>
      <c r="F31" s="37" t="str">
        <f>VLOOKUP(H31, 'Sector Codes'!B$2:C$74, 2, FALSE)</f>
        <v>Other vehicles (e.g. aircraft, water vessels), missiles, and accompanying parts</v>
      </c>
      <c r="G31" s="30" t="s">
        <v>184</v>
      </c>
      <c r="H31" s="30" t="s">
        <v>194</v>
      </c>
      <c r="I31" s="33">
        <v>1.08495557</v>
      </c>
      <c r="K31" t="s">
        <v>185</v>
      </c>
      <c r="L31" t="s">
        <v>213</v>
      </c>
      <c r="M31" t="s">
        <v>198</v>
      </c>
      <c r="N31">
        <v>0.23708065573109</v>
      </c>
      <c r="O31" s="41"/>
    </row>
    <row r="32" spans="1:15" ht="16" thickBot="1">
      <c r="A32" s="36" t="s">
        <v>212</v>
      </c>
      <c r="B32" s="30">
        <v>6</v>
      </c>
      <c r="C32" s="30" t="s">
        <v>188</v>
      </c>
      <c r="D32" s="31">
        <v>2.0482440000000001E-2</v>
      </c>
      <c r="F32" s="37" t="str">
        <f>VLOOKUP(H32, 'Sector Codes'!B$2:C$74, 2, FALSE)</f>
        <v>Furniture and shelving</v>
      </c>
      <c r="G32" s="30" t="s">
        <v>184</v>
      </c>
      <c r="H32" s="30">
        <v>337</v>
      </c>
      <c r="I32" s="33">
        <v>0.53810555000000004</v>
      </c>
      <c r="K32" t="s">
        <v>184</v>
      </c>
      <c r="L32" t="s">
        <v>213</v>
      </c>
      <c r="M32" t="s">
        <v>198</v>
      </c>
      <c r="N32">
        <v>0.13666720744489799</v>
      </c>
      <c r="O32" s="41"/>
    </row>
    <row r="33" spans="1:15" ht="21" thickBot="1">
      <c r="A33" s="36" t="s">
        <v>212</v>
      </c>
      <c r="B33" s="30">
        <v>6</v>
      </c>
      <c r="C33" s="30" t="s">
        <v>13</v>
      </c>
      <c r="D33" s="31">
        <v>45.589080000000003</v>
      </c>
      <c r="F33" s="37" t="str">
        <f>VLOOKUP(H33, 'Sector Codes'!B$2:C$74, 2, FALSE)</f>
        <v>Medical supplies, entertainment and sporting goods, fashion goods, advertising products</v>
      </c>
      <c r="G33" s="30" t="s">
        <v>184</v>
      </c>
      <c r="H33" s="30">
        <v>339</v>
      </c>
      <c r="I33" s="33">
        <v>0.76371387999999996</v>
      </c>
      <c r="K33" t="s">
        <v>188</v>
      </c>
      <c r="L33" t="s">
        <v>213</v>
      </c>
      <c r="M33" t="s">
        <v>198</v>
      </c>
      <c r="N33">
        <v>14.826666226550101</v>
      </c>
      <c r="O33" s="41"/>
    </row>
    <row r="34" spans="1:15" ht="22" thickBot="1">
      <c r="A34" s="36" t="s">
        <v>214</v>
      </c>
      <c r="B34" s="30">
        <v>7</v>
      </c>
      <c r="C34" s="30" t="s">
        <v>184</v>
      </c>
      <c r="D34" s="31">
        <v>9.8375029999999999</v>
      </c>
      <c r="F34" s="37" t="str">
        <f>VLOOKUP(H34, 'Sector Codes'!B$2:C$74, 2, FALSE)</f>
        <v>Food and beverage and tobacco products</v>
      </c>
      <c r="G34" s="30" t="s">
        <v>184</v>
      </c>
      <c r="H34" s="30" t="s">
        <v>197</v>
      </c>
      <c r="I34" s="33">
        <v>17.826562750000001</v>
      </c>
      <c r="K34" t="s">
        <v>185</v>
      </c>
      <c r="L34" t="s">
        <v>215</v>
      </c>
      <c r="M34" t="s">
        <v>198</v>
      </c>
      <c r="N34">
        <v>0.15900079270598599</v>
      </c>
      <c r="O34" s="41"/>
    </row>
    <row r="35" spans="1:15" ht="22" thickBot="1">
      <c r="A35" s="36" t="s">
        <v>214</v>
      </c>
      <c r="B35" s="30">
        <v>7</v>
      </c>
      <c r="C35" s="30" t="s">
        <v>188</v>
      </c>
      <c r="D35" s="31">
        <v>1.933733E-2</v>
      </c>
      <c r="F35" s="37" t="str">
        <f>VLOOKUP(H35, 'Sector Codes'!B$2:C$74, 2, FALSE)</f>
        <v>Textiles and textile-derived products (except clothes)</v>
      </c>
      <c r="G35" s="30" t="s">
        <v>184</v>
      </c>
      <c r="H35" s="30" t="s">
        <v>200</v>
      </c>
      <c r="I35" s="33">
        <v>0.53253037999999997</v>
      </c>
      <c r="K35" t="s">
        <v>184</v>
      </c>
      <c r="L35" t="s">
        <v>215</v>
      </c>
      <c r="M35" t="s">
        <v>198</v>
      </c>
      <c r="N35">
        <v>0.132952892620776</v>
      </c>
      <c r="O35" s="41"/>
    </row>
    <row r="36" spans="1:15" ht="22" thickBot="1">
      <c r="A36" s="36" t="s">
        <v>214</v>
      </c>
      <c r="B36" s="30">
        <v>7</v>
      </c>
      <c r="C36" s="30" t="s">
        <v>13</v>
      </c>
      <c r="D36" s="31">
        <v>22.922170000000001</v>
      </c>
      <c r="F36" s="37" t="str">
        <f>VLOOKUP(H36, 'Sector Codes'!B$2:C$74, 2, FALSE)</f>
        <v>Clothing and leather</v>
      </c>
      <c r="G36" s="30" t="s">
        <v>184</v>
      </c>
      <c r="H36" s="30" t="s">
        <v>202</v>
      </c>
      <c r="I36" s="33">
        <v>0.13666721000000001</v>
      </c>
      <c r="K36" t="s">
        <v>188</v>
      </c>
      <c r="L36" t="s">
        <v>215</v>
      </c>
      <c r="M36" t="s">
        <v>198</v>
      </c>
      <c r="N36">
        <v>0.116571817060152</v>
      </c>
      <c r="O36" s="41"/>
    </row>
    <row r="37" spans="1:15" ht="16" thickBot="1">
      <c r="A37" s="36" t="s">
        <v>216</v>
      </c>
      <c r="B37" s="30">
        <v>81</v>
      </c>
      <c r="C37" s="30" t="s">
        <v>184</v>
      </c>
      <c r="D37" s="31">
        <v>1.994856</v>
      </c>
      <c r="F37" s="37" t="str">
        <f>VLOOKUP(H37, 'Sector Codes'!B$2:C$74, 2, FALSE)</f>
        <v>Paper products and paper production facilities</v>
      </c>
      <c r="G37" s="30" t="s">
        <v>184</v>
      </c>
      <c r="H37" s="30">
        <v>322</v>
      </c>
      <c r="I37" s="33">
        <v>0.97346971000000004</v>
      </c>
      <c r="K37" t="s">
        <v>185</v>
      </c>
      <c r="L37" t="s">
        <v>217</v>
      </c>
      <c r="M37" t="s">
        <v>198</v>
      </c>
      <c r="N37">
        <v>1.0402424738690701</v>
      </c>
      <c r="O37" s="41"/>
    </row>
    <row r="38" spans="1:15" ht="16" thickBot="1">
      <c r="A38" s="36" t="s">
        <v>216</v>
      </c>
      <c r="B38" s="30">
        <v>81</v>
      </c>
      <c r="C38" s="30" t="s">
        <v>188</v>
      </c>
      <c r="D38" s="31">
        <v>3.3375099999999998E-2</v>
      </c>
      <c r="F38" s="37" t="str">
        <f>VLOOKUP(H38, 'Sector Codes'!B$2:C$74, 2, FALSE)</f>
        <v>Print media and printing support</v>
      </c>
      <c r="G38" s="30" t="s">
        <v>184</v>
      </c>
      <c r="H38" s="30">
        <v>323</v>
      </c>
      <c r="I38" s="33">
        <v>8.4253969999999997E-2</v>
      </c>
      <c r="K38" t="s">
        <v>184</v>
      </c>
      <c r="L38" t="s">
        <v>217</v>
      </c>
      <c r="M38" t="s">
        <v>198</v>
      </c>
      <c r="N38">
        <v>0.97346970519852805</v>
      </c>
      <c r="O38" s="41"/>
    </row>
    <row r="39" spans="1:15" ht="15" customHeight="1" thickBot="1">
      <c r="A39" s="36" t="s">
        <v>216</v>
      </c>
      <c r="B39" s="30">
        <v>81</v>
      </c>
      <c r="C39" s="30" t="s">
        <v>13</v>
      </c>
      <c r="D39" s="31">
        <v>8.4959830000000007</v>
      </c>
      <c r="F39" s="37" t="str">
        <f>VLOOKUP(H39, 'Sector Codes'!B$2:C$74, 2, FALSE)</f>
        <v>Petroleum fuels, asphalt, and other petroleum and coal products</v>
      </c>
      <c r="G39" s="30" t="s">
        <v>184</v>
      </c>
      <c r="H39" s="30">
        <v>324</v>
      </c>
      <c r="I39" s="33">
        <v>2.7266623399999999</v>
      </c>
      <c r="K39" t="s">
        <v>188</v>
      </c>
      <c r="L39" t="s">
        <v>217</v>
      </c>
      <c r="M39" t="s">
        <v>198</v>
      </c>
      <c r="N39">
        <v>0.142258967194521</v>
      </c>
      <c r="O39" s="41"/>
    </row>
    <row r="40" spans="1:15" ht="22" thickBot="1">
      <c r="A40" s="36" t="s">
        <v>218</v>
      </c>
      <c r="B40" s="30" t="s">
        <v>219</v>
      </c>
      <c r="C40" s="30" t="s">
        <v>188</v>
      </c>
      <c r="D40" s="31">
        <v>0</v>
      </c>
      <c r="F40" s="37" t="str">
        <f>VLOOKUP(H40, 'Sector Codes'!B$2:C$74, 2, FALSE)</f>
        <v>Agricultural, pharmaceutical, industrial, and commercial chemicals</v>
      </c>
      <c r="G40" s="30" t="s">
        <v>184</v>
      </c>
      <c r="H40" s="30">
        <v>325</v>
      </c>
      <c r="I40" s="33">
        <v>4.0841687799999997</v>
      </c>
      <c r="K40" t="s">
        <v>185</v>
      </c>
      <c r="L40" t="s">
        <v>220</v>
      </c>
      <c r="M40" t="s">
        <v>198</v>
      </c>
      <c r="N40">
        <v>0.114821556298562</v>
      </c>
      <c r="O40" s="41"/>
    </row>
    <row r="41" spans="1:15" ht="22" thickBot="1">
      <c r="A41" s="36" t="s">
        <v>218</v>
      </c>
      <c r="B41" s="30" t="s">
        <v>219</v>
      </c>
      <c r="C41" s="30" t="s">
        <v>184</v>
      </c>
      <c r="D41" s="31">
        <v>0</v>
      </c>
      <c r="F41" s="37" t="str">
        <f>VLOOKUP(H41, 'Sector Codes'!B$2:C$74, 2, FALSE)</f>
        <v>Plastics and rubber products</v>
      </c>
      <c r="G41" s="30" t="s">
        <v>184</v>
      </c>
      <c r="H41" s="30">
        <v>326</v>
      </c>
      <c r="I41" s="33">
        <v>0.48934813999999999</v>
      </c>
      <c r="K41" t="s">
        <v>184</v>
      </c>
      <c r="L41" t="s">
        <v>220</v>
      </c>
      <c r="M41" t="s">
        <v>198</v>
      </c>
      <c r="N41">
        <v>8.4253968636267496E-2</v>
      </c>
      <c r="O41" s="41"/>
    </row>
    <row r="42" spans="1:15" ht="22" thickBot="1">
      <c r="A42" s="36" t="s">
        <v>218</v>
      </c>
      <c r="B42" s="30" t="s">
        <v>219</v>
      </c>
      <c r="C42" s="30" t="s">
        <v>13</v>
      </c>
      <c r="D42" s="31">
        <v>113.18154734213999</v>
      </c>
      <c r="F42" s="37" t="str">
        <f>VLOOKUP(H42, 'Sector Codes'!B$2:C$74, 2, FALSE)</f>
        <v>Wood products (e.g. plywood, veneer)</v>
      </c>
      <c r="G42" s="30" t="s">
        <v>188</v>
      </c>
      <c r="H42" s="30">
        <v>321</v>
      </c>
      <c r="I42" s="33">
        <v>0.11657182000000001</v>
      </c>
      <c r="K42" t="s">
        <v>188</v>
      </c>
      <c r="L42" t="s">
        <v>220</v>
      </c>
      <c r="M42" t="s">
        <v>198</v>
      </c>
      <c r="N42">
        <v>2.72191235819138E-2</v>
      </c>
      <c r="O42" s="41"/>
    </row>
    <row r="43" spans="1:15" ht="22" thickBot="1">
      <c r="A43" s="36" t="s">
        <v>221</v>
      </c>
      <c r="B43" s="30" t="s">
        <v>222</v>
      </c>
      <c r="C43" s="30" t="s">
        <v>188</v>
      </c>
      <c r="D43" s="31">
        <v>0</v>
      </c>
      <c r="F43" s="37" t="str">
        <f>VLOOKUP(H43, 'Sector Codes'!B$2:C$74, 2, FALSE)</f>
        <v>Clay, glass, cement, concrete, and other nonmetallic mineral products</v>
      </c>
      <c r="G43" s="30" t="s">
        <v>188</v>
      </c>
      <c r="H43" s="30">
        <v>327</v>
      </c>
      <c r="I43" s="33">
        <v>0.61933198</v>
      </c>
      <c r="K43" t="s">
        <v>185</v>
      </c>
      <c r="L43" t="s">
        <v>223</v>
      </c>
      <c r="M43" t="s">
        <v>198</v>
      </c>
      <c r="N43">
        <v>21.842538395163899</v>
      </c>
      <c r="O43" s="41"/>
    </row>
    <row r="44" spans="1:15" ht="22" thickBot="1">
      <c r="A44" s="36" t="s">
        <v>221</v>
      </c>
      <c r="B44" s="30" t="s">
        <v>222</v>
      </c>
      <c r="C44" s="30" t="s">
        <v>184</v>
      </c>
      <c r="D44" s="31">
        <v>0</v>
      </c>
      <c r="F44" s="37" t="str">
        <f>VLOOKUP(H44, 'Sector Codes'!B$2:C$74, 2, FALSE)</f>
        <v>Primary and secondary ferrous and nonferrous metals</v>
      </c>
      <c r="G44" s="30" t="s">
        <v>188</v>
      </c>
      <c r="H44" s="30">
        <v>331</v>
      </c>
      <c r="I44" s="33">
        <v>1.182415E-2</v>
      </c>
      <c r="K44" t="s">
        <v>184</v>
      </c>
      <c r="L44" t="s">
        <v>223</v>
      </c>
      <c r="M44" t="s">
        <v>198</v>
      </c>
      <c r="N44">
        <v>2.72666233663724</v>
      </c>
      <c r="O44" s="41"/>
    </row>
    <row r="45" spans="1:15" ht="22" thickBot="1">
      <c r="A45" s="36" t="s">
        <v>221</v>
      </c>
      <c r="B45" s="30" t="s">
        <v>222</v>
      </c>
      <c r="C45" s="30" t="s">
        <v>13</v>
      </c>
      <c r="D45" s="31">
        <v>31.056352657859996</v>
      </c>
      <c r="F45" s="37" t="str">
        <f>VLOOKUP(H45, 'Sector Codes'!B$2:C$74, 2, FALSE)</f>
        <v>Fabricated metal products (e.g. architectural and structural metal products)</v>
      </c>
      <c r="G45" s="30" t="s">
        <v>188</v>
      </c>
      <c r="H45" s="30">
        <v>332</v>
      </c>
      <c r="I45" s="33">
        <v>1.10058297</v>
      </c>
      <c r="K45" t="s">
        <v>188</v>
      </c>
      <c r="L45" t="s">
        <v>223</v>
      </c>
      <c r="M45" t="s">
        <v>198</v>
      </c>
      <c r="N45">
        <v>1.6228213552416999</v>
      </c>
      <c r="O45" s="41"/>
    </row>
    <row r="46" spans="1:15" ht="22" thickBot="1">
      <c r="A46" s="36" t="s">
        <v>224</v>
      </c>
      <c r="B46" s="30" t="s">
        <v>225</v>
      </c>
      <c r="C46" s="30" t="s">
        <v>184</v>
      </c>
      <c r="D46" s="31">
        <v>8.3526799999999994</v>
      </c>
      <c r="F46" s="37" t="str">
        <f>VLOOKUP(H46, 'Sector Codes'!B$2:C$74, 2, FALSE)</f>
        <v>Machinery (except computers)</v>
      </c>
      <c r="G46" s="30" t="s">
        <v>188</v>
      </c>
      <c r="H46" s="30">
        <v>333</v>
      </c>
      <c r="I46" s="33">
        <v>2.89062185</v>
      </c>
      <c r="K46" t="s">
        <v>185</v>
      </c>
      <c r="L46" t="s">
        <v>226</v>
      </c>
      <c r="M46" t="s">
        <v>198</v>
      </c>
      <c r="N46">
        <v>6.2024449964409403</v>
      </c>
      <c r="O46" s="41"/>
    </row>
    <row r="47" spans="1:15" ht="22" thickBot="1">
      <c r="A47" s="36" t="s">
        <v>224</v>
      </c>
      <c r="B47" s="30" t="s">
        <v>225</v>
      </c>
      <c r="C47" s="30" t="s">
        <v>188</v>
      </c>
      <c r="D47" s="31">
        <v>1.7241699999999999E-2</v>
      </c>
      <c r="F47" s="37" t="str">
        <f>VLOOKUP(H47, 'Sector Codes'!B$2:C$74, 2, FALSE)</f>
        <v>Computers and relevant parts, conductors, measuring devices, communication devices</v>
      </c>
      <c r="G47" s="30" t="s">
        <v>188</v>
      </c>
      <c r="H47" s="30">
        <v>334</v>
      </c>
      <c r="I47" s="33">
        <v>30.263514520000001</v>
      </c>
      <c r="K47" t="s">
        <v>184</v>
      </c>
      <c r="L47" t="s">
        <v>226</v>
      </c>
      <c r="M47" t="s">
        <v>198</v>
      </c>
      <c r="N47">
        <v>4.0841687803799598</v>
      </c>
      <c r="O47" s="41"/>
    </row>
    <row r="48" spans="1:15" ht="22" thickBot="1">
      <c r="A48" s="36" t="s">
        <v>224</v>
      </c>
      <c r="B48" s="30" t="s">
        <v>225</v>
      </c>
      <c r="C48" s="30" t="s">
        <v>13</v>
      </c>
      <c r="D48" s="31">
        <v>18.637250000000002</v>
      </c>
      <c r="F48" s="37" t="str">
        <f>VLOOKUP(H48, 'Sector Codes'!B$2:C$74, 2, FALSE)</f>
        <v>Lights and light fixtures, switch boards, transformers, and home appliances</v>
      </c>
      <c r="G48" s="30" t="s">
        <v>188</v>
      </c>
      <c r="H48" s="30">
        <v>335</v>
      </c>
      <c r="I48" s="33">
        <v>2.6022672</v>
      </c>
      <c r="K48" t="s">
        <v>188</v>
      </c>
      <c r="L48" t="s">
        <v>226</v>
      </c>
      <c r="M48" t="s">
        <v>198</v>
      </c>
      <c r="N48">
        <v>9.3975907406105303</v>
      </c>
      <c r="O48" s="41"/>
    </row>
    <row r="49" spans="1:15" ht="21" thickBot="1">
      <c r="A49" s="36" t="s">
        <v>227</v>
      </c>
      <c r="B49" s="30" t="s">
        <v>228</v>
      </c>
      <c r="C49" s="30" t="s">
        <v>184</v>
      </c>
      <c r="D49" s="31">
        <v>0.1665817</v>
      </c>
      <c r="F49" s="37" t="str">
        <f>VLOOKUP(H49, 'Sector Codes'!B$2:C$74, 2, FALSE)</f>
        <v>On-road vehicles (excluding motorcycles) and accompanying parts</v>
      </c>
      <c r="G49" s="30" t="s">
        <v>188</v>
      </c>
      <c r="H49" s="30" t="s">
        <v>193</v>
      </c>
      <c r="I49" s="33">
        <v>5.01901478</v>
      </c>
      <c r="K49" t="s">
        <v>185</v>
      </c>
      <c r="L49" t="s">
        <v>229</v>
      </c>
      <c r="M49" t="s">
        <v>198</v>
      </c>
      <c r="N49">
        <v>0.491306401720779</v>
      </c>
      <c r="O49" s="41"/>
    </row>
    <row r="50" spans="1:15" ht="21" thickBot="1">
      <c r="A50" s="36" t="s">
        <v>227</v>
      </c>
      <c r="B50" s="30" t="s">
        <v>228</v>
      </c>
      <c r="C50" s="30" t="s">
        <v>188</v>
      </c>
      <c r="D50" s="31">
        <v>3.7259579999999998E-4</v>
      </c>
      <c r="F50" s="37" t="str">
        <f>VLOOKUP(H50, 'Sector Codes'!B$2:C$74, 2, FALSE)</f>
        <v>Other vehicles (e.g. aircraft, water vessels), missiles, and accompanying parts</v>
      </c>
      <c r="G50" s="30" t="s">
        <v>188</v>
      </c>
      <c r="H50" s="30" t="s">
        <v>194</v>
      </c>
      <c r="I50" s="33">
        <v>0.70997255999999997</v>
      </c>
      <c r="K50" t="s">
        <v>184</v>
      </c>
      <c r="L50" t="s">
        <v>229</v>
      </c>
      <c r="M50" t="s">
        <v>198</v>
      </c>
      <c r="N50">
        <v>0.489348135065792</v>
      </c>
      <c r="O50" s="41"/>
    </row>
    <row r="51" spans="1:15" ht="16" thickBot="1">
      <c r="A51" s="36" t="s">
        <v>227</v>
      </c>
      <c r="B51" s="30" t="s">
        <v>228</v>
      </c>
      <c r="C51" s="30" t="s">
        <v>13</v>
      </c>
      <c r="D51" s="31">
        <v>87.443389999999994</v>
      </c>
      <c r="F51" s="37" t="str">
        <f>VLOOKUP(H51, 'Sector Codes'!B$2:C$74, 2, FALSE)</f>
        <v>Furniture and shelving</v>
      </c>
      <c r="G51" s="30" t="s">
        <v>188</v>
      </c>
      <c r="H51" s="30">
        <v>337</v>
      </c>
      <c r="I51" s="33">
        <v>3.2957658599999999</v>
      </c>
      <c r="K51" t="s">
        <v>188</v>
      </c>
      <c r="L51" t="s">
        <v>229</v>
      </c>
      <c r="M51" t="s">
        <v>198</v>
      </c>
      <c r="N51">
        <v>1.13724973656234</v>
      </c>
      <c r="O51" s="41"/>
    </row>
    <row r="52" spans="1:15" ht="21" thickBot="1">
      <c r="A52" s="36" t="s">
        <v>230</v>
      </c>
      <c r="B52" s="30" t="s">
        <v>231</v>
      </c>
      <c r="C52" s="30" t="s">
        <v>184</v>
      </c>
      <c r="D52" s="31">
        <v>18.621359999999999</v>
      </c>
      <c r="F52" s="37" t="str">
        <f>VLOOKUP(H52, 'Sector Codes'!B$2:C$74, 2, FALSE)</f>
        <v>Medical supplies, entertainment and sporting goods, fashion goods, advertising products</v>
      </c>
      <c r="G52" s="30" t="s">
        <v>188</v>
      </c>
      <c r="H52" s="30">
        <v>339</v>
      </c>
      <c r="I52" s="33">
        <v>5.6985406799999998</v>
      </c>
      <c r="K52" t="s">
        <v>185</v>
      </c>
      <c r="L52" t="s">
        <v>232</v>
      </c>
      <c r="M52" t="s">
        <v>198</v>
      </c>
      <c r="N52">
        <v>0.41230006638480099</v>
      </c>
      <c r="O52" s="41"/>
    </row>
    <row r="53" spans="1:15" ht="16" thickBot="1">
      <c r="A53" s="36" t="s">
        <v>230</v>
      </c>
      <c r="B53" s="30" t="s">
        <v>231</v>
      </c>
      <c r="C53" s="30" t="s">
        <v>188</v>
      </c>
      <c r="D53" s="31">
        <v>2.0732010000000001</v>
      </c>
      <c r="F53" s="37" t="str">
        <f>VLOOKUP(H53, 'Sector Codes'!B$2:C$74, 2, FALSE)</f>
        <v>Food and beverage and tobacco products</v>
      </c>
      <c r="G53" s="30" t="s">
        <v>188</v>
      </c>
      <c r="H53" s="30" t="s">
        <v>197</v>
      </c>
      <c r="I53" s="33">
        <v>5.8406934100000001</v>
      </c>
      <c r="K53" t="s">
        <v>184</v>
      </c>
      <c r="L53" t="s">
        <v>232</v>
      </c>
      <c r="M53" t="s">
        <v>198</v>
      </c>
      <c r="N53">
        <v>0.17538526489526499</v>
      </c>
      <c r="O53" s="41"/>
    </row>
    <row r="54" spans="1:15" ht="16" thickBot="1">
      <c r="A54" s="36" t="s">
        <v>230</v>
      </c>
      <c r="B54" s="30" t="s">
        <v>231</v>
      </c>
      <c r="C54" s="30" t="s">
        <v>13</v>
      </c>
      <c r="D54" s="31">
        <v>8.8087730000000004</v>
      </c>
      <c r="F54" s="37" t="str">
        <f>VLOOKUP(H54, 'Sector Codes'!B$2:C$74, 2, FALSE)</f>
        <v>Textiles and textile-derived products (except clothes)</v>
      </c>
      <c r="G54" s="30" t="s">
        <v>188</v>
      </c>
      <c r="H54" s="30" t="s">
        <v>200</v>
      </c>
      <c r="I54" s="33">
        <v>1.3828802499999999</v>
      </c>
      <c r="K54" t="s">
        <v>188</v>
      </c>
      <c r="L54" t="s">
        <v>232</v>
      </c>
      <c r="M54" t="s">
        <v>198</v>
      </c>
      <c r="N54">
        <v>0.61933197784939797</v>
      </c>
      <c r="O54" s="41"/>
    </row>
    <row r="55" spans="1:15" ht="16" thickBot="1">
      <c r="D55" s="32">
        <f>SUM(D4:D54)</f>
        <v>772.91573806580004</v>
      </c>
      <c r="F55" s="37" t="str">
        <f>VLOOKUP(H55, 'Sector Codes'!B$2:C$74, 2, FALSE)</f>
        <v>Clothing and leather</v>
      </c>
      <c r="G55" s="30" t="s">
        <v>188</v>
      </c>
      <c r="H55" s="30" t="s">
        <v>202</v>
      </c>
      <c r="I55" s="33">
        <v>14.826666230000001</v>
      </c>
      <c r="K55" t="s">
        <v>185</v>
      </c>
      <c r="L55" t="s">
        <v>233</v>
      </c>
      <c r="M55" t="s">
        <v>198</v>
      </c>
      <c r="N55">
        <v>2.2113154339397999E-2</v>
      </c>
      <c r="O55" s="41"/>
    </row>
    <row r="56" spans="1:15" ht="62" thickBot="1">
      <c r="A56" s="36" t="s">
        <v>234</v>
      </c>
      <c r="F56" s="37" t="str">
        <f>VLOOKUP(H56, 'Sector Codes'!B$2:C$74, 2, FALSE)</f>
        <v>Paper products and paper production facilities</v>
      </c>
      <c r="G56" s="30" t="s">
        <v>188</v>
      </c>
      <c r="H56" s="30">
        <v>322</v>
      </c>
      <c r="I56" s="33">
        <v>0.14225897000000001</v>
      </c>
      <c r="K56" t="s">
        <v>184</v>
      </c>
      <c r="L56" t="s">
        <v>233</v>
      </c>
      <c r="M56" t="s">
        <v>198</v>
      </c>
      <c r="N56">
        <v>2.4269035085812001E-2</v>
      </c>
      <c r="O56" s="41"/>
    </row>
    <row r="57" spans="1:15" ht="16" thickBot="1">
      <c r="F57" s="37" t="str">
        <f>VLOOKUP(H57, 'Sector Codes'!B$2:C$74, 2, FALSE)</f>
        <v>Print media and printing support</v>
      </c>
      <c r="G57" s="30" t="s">
        <v>188</v>
      </c>
      <c r="H57" s="30">
        <v>323</v>
      </c>
      <c r="I57" s="33">
        <v>2.7219119999999999E-2</v>
      </c>
      <c r="K57" t="s">
        <v>188</v>
      </c>
      <c r="L57" t="s">
        <v>233</v>
      </c>
      <c r="M57" t="s">
        <v>198</v>
      </c>
      <c r="N57">
        <v>1.1824150219131E-2</v>
      </c>
      <c r="O57" s="41"/>
    </row>
    <row r="58" spans="1:15" ht="15" customHeight="1" thickBot="1">
      <c r="F58" s="37" t="str">
        <f>VLOOKUP(H58, 'Sector Codes'!B$2:C$74, 2, FALSE)</f>
        <v>Petroleum fuels, asphalt, and other petroleum and coal products</v>
      </c>
      <c r="G58" s="30" t="s">
        <v>188</v>
      </c>
      <c r="H58" s="30">
        <v>324</v>
      </c>
      <c r="I58" s="33">
        <v>1.6228213600000001</v>
      </c>
      <c r="K58" t="s">
        <v>185</v>
      </c>
      <c r="L58" t="s">
        <v>235</v>
      </c>
      <c r="M58" t="s">
        <v>198</v>
      </c>
      <c r="N58">
        <v>0.57845231646852002</v>
      </c>
      <c r="O58" s="41"/>
    </row>
    <row r="59" spans="1:15" ht="16" thickBot="1">
      <c r="F59" s="37" t="str">
        <f>VLOOKUP(H59, 'Sector Codes'!B$2:C$74, 2, FALSE)</f>
        <v>Agricultural, pharmaceutical, industrial, and commercial chemicals</v>
      </c>
      <c r="G59" s="30" t="s">
        <v>188</v>
      </c>
      <c r="H59" s="30">
        <v>325</v>
      </c>
      <c r="I59" s="33">
        <v>9.3975907400000001</v>
      </c>
      <c r="K59" t="s">
        <v>184</v>
      </c>
      <c r="L59" t="s">
        <v>235</v>
      </c>
      <c r="M59" t="s">
        <v>198</v>
      </c>
      <c r="N59">
        <v>0.39599765995450897</v>
      </c>
      <c r="O59" s="41"/>
    </row>
    <row r="60" spans="1:15" ht="16" thickBot="1">
      <c r="F60" s="37" t="str">
        <f>VLOOKUP(H60, 'Sector Codes'!B$2:C$74, 2, FALSE)</f>
        <v>Plastics and rubber products</v>
      </c>
      <c r="G60" s="30" t="s">
        <v>188</v>
      </c>
      <c r="H60" s="30">
        <v>326</v>
      </c>
      <c r="I60" s="33">
        <v>1.1372497399999999</v>
      </c>
      <c r="K60" t="s">
        <v>188</v>
      </c>
      <c r="L60" t="s">
        <v>235</v>
      </c>
      <c r="M60" t="s">
        <v>198</v>
      </c>
      <c r="N60">
        <v>1.1005829718925</v>
      </c>
      <c r="O60" s="41"/>
    </row>
    <row r="61" spans="1:15" ht="16" thickBot="1">
      <c r="K61" t="s">
        <v>185</v>
      </c>
      <c r="L61" t="s">
        <v>236</v>
      </c>
      <c r="M61" t="s">
        <v>198</v>
      </c>
      <c r="N61">
        <v>2.7811823158277198</v>
      </c>
      <c r="O61" s="41"/>
    </row>
    <row r="62" spans="1:15" ht="16" thickBot="1">
      <c r="K62" t="s">
        <v>184</v>
      </c>
      <c r="L62" t="s">
        <v>236</v>
      </c>
      <c r="M62" t="s">
        <v>198</v>
      </c>
      <c r="N62">
        <v>1.82963202123688</v>
      </c>
      <c r="O62" s="41"/>
    </row>
    <row r="63" spans="1:15" ht="16" thickBot="1">
      <c r="K63" t="s">
        <v>188</v>
      </c>
      <c r="L63" t="s">
        <v>236</v>
      </c>
      <c r="M63" t="s">
        <v>198</v>
      </c>
      <c r="N63">
        <v>2.8906218523960399</v>
      </c>
      <c r="O63" s="41"/>
    </row>
    <row r="64" spans="1:15" ht="16" thickBot="1">
      <c r="K64" t="s">
        <v>185</v>
      </c>
      <c r="L64" t="s">
        <v>237</v>
      </c>
      <c r="M64" t="s">
        <v>198</v>
      </c>
      <c r="N64">
        <v>2.2469006930055202</v>
      </c>
      <c r="O64" s="41"/>
    </row>
    <row r="65" spans="11:15" ht="16" thickBot="1">
      <c r="K65" t="s">
        <v>184</v>
      </c>
      <c r="L65" t="s">
        <v>237</v>
      </c>
      <c r="M65" t="s">
        <v>198</v>
      </c>
      <c r="N65">
        <v>1.3961011289608101</v>
      </c>
      <c r="O65" s="41"/>
    </row>
    <row r="66" spans="11:15" ht="16" thickBot="1">
      <c r="K66" t="s">
        <v>188</v>
      </c>
      <c r="L66" t="s">
        <v>237</v>
      </c>
      <c r="M66" t="s">
        <v>198</v>
      </c>
      <c r="N66">
        <v>30.263514522838602</v>
      </c>
      <c r="O66" s="41"/>
    </row>
    <row r="67" spans="11:15" ht="16" thickBot="1">
      <c r="K67" t="s">
        <v>185</v>
      </c>
      <c r="L67" t="s">
        <v>238</v>
      </c>
      <c r="M67" t="s">
        <v>198</v>
      </c>
      <c r="N67">
        <v>0.53732802629870002</v>
      </c>
      <c r="O67" s="41"/>
    </row>
    <row r="68" spans="11:15" ht="16" thickBot="1">
      <c r="K68" t="s">
        <v>184</v>
      </c>
      <c r="L68" t="s">
        <v>238</v>
      </c>
      <c r="M68" t="s">
        <v>198</v>
      </c>
      <c r="N68">
        <v>0.97589828484065599</v>
      </c>
      <c r="O68" s="41"/>
    </row>
    <row r="69" spans="11:15" ht="16" thickBot="1">
      <c r="K69" t="s">
        <v>188</v>
      </c>
      <c r="L69" t="s">
        <v>238</v>
      </c>
      <c r="M69" t="s">
        <v>198</v>
      </c>
      <c r="N69">
        <v>2.6022671961896902</v>
      </c>
      <c r="O69" s="41"/>
    </row>
    <row r="70" spans="11:15" ht="16" thickBot="1">
      <c r="K70" t="s">
        <v>185</v>
      </c>
      <c r="L70" t="s">
        <v>239</v>
      </c>
      <c r="M70" t="s">
        <v>198</v>
      </c>
      <c r="N70">
        <v>1.67424615632885</v>
      </c>
      <c r="O70" s="41"/>
    </row>
    <row r="71" spans="11:15" ht="16" thickBot="1">
      <c r="K71" t="s">
        <v>184</v>
      </c>
      <c r="L71" t="s">
        <v>239</v>
      </c>
      <c r="M71" t="s">
        <v>198</v>
      </c>
      <c r="N71">
        <v>4.97151589880343</v>
      </c>
      <c r="O71" s="41"/>
    </row>
    <row r="72" spans="11:15" ht="16" thickBot="1">
      <c r="K72" t="s">
        <v>188</v>
      </c>
      <c r="L72" t="s">
        <v>239</v>
      </c>
      <c r="M72" t="s">
        <v>198</v>
      </c>
      <c r="N72">
        <v>5.0190147827218903</v>
      </c>
      <c r="O72" s="41"/>
    </row>
    <row r="73" spans="11:15" ht="16" thickBot="1">
      <c r="K73" t="s">
        <v>185</v>
      </c>
      <c r="L73" t="s">
        <v>240</v>
      </c>
      <c r="M73" t="s">
        <v>198</v>
      </c>
      <c r="N73">
        <v>1.8279242918051499</v>
      </c>
      <c r="O73" s="41"/>
    </row>
    <row r="74" spans="11:15" ht="16" thickBot="1">
      <c r="K74" t="s">
        <v>184</v>
      </c>
      <c r="L74" t="s">
        <v>240</v>
      </c>
      <c r="M74" t="s">
        <v>198</v>
      </c>
      <c r="N74">
        <v>1.0849555741173</v>
      </c>
      <c r="O74" s="41"/>
    </row>
    <row r="75" spans="11:15" ht="16" thickBot="1">
      <c r="K75" t="s">
        <v>188</v>
      </c>
      <c r="L75" t="s">
        <v>240</v>
      </c>
      <c r="M75" t="s">
        <v>198</v>
      </c>
      <c r="N75">
        <v>0.70997256061204606</v>
      </c>
      <c r="O75" s="41"/>
    </row>
    <row r="76" spans="11:15" ht="16" thickBot="1">
      <c r="K76" t="s">
        <v>185</v>
      </c>
      <c r="L76" t="s">
        <v>241</v>
      </c>
      <c r="M76" t="s">
        <v>198</v>
      </c>
      <c r="N76">
        <v>1.3976322626820701</v>
      </c>
      <c r="O76" s="41"/>
    </row>
    <row r="77" spans="11:15" ht="16" thickBot="1">
      <c r="K77" t="s">
        <v>184</v>
      </c>
      <c r="L77" t="s">
        <v>241</v>
      </c>
      <c r="M77" t="s">
        <v>198</v>
      </c>
      <c r="N77">
        <v>0.53810555320265696</v>
      </c>
      <c r="O77" s="41"/>
    </row>
    <row r="78" spans="11:15" ht="16" thickBot="1">
      <c r="K78" t="s">
        <v>188</v>
      </c>
      <c r="L78" t="s">
        <v>241</v>
      </c>
      <c r="M78" t="s">
        <v>198</v>
      </c>
      <c r="N78">
        <v>3.2957658605284599</v>
      </c>
      <c r="O78" s="41"/>
    </row>
    <row r="79" spans="11:15" ht="16" thickBot="1">
      <c r="K79" t="s">
        <v>185</v>
      </c>
      <c r="L79" t="s">
        <v>242</v>
      </c>
      <c r="M79" t="s">
        <v>198</v>
      </c>
      <c r="N79">
        <v>1.9574654282349999</v>
      </c>
      <c r="O79" s="41"/>
    </row>
    <row r="80" spans="11:15" ht="16" thickBot="1">
      <c r="K80" t="s">
        <v>184</v>
      </c>
      <c r="L80" t="s">
        <v>242</v>
      </c>
      <c r="M80" t="s">
        <v>198</v>
      </c>
      <c r="N80">
        <v>0.76371388159913101</v>
      </c>
      <c r="O80" s="41"/>
    </row>
    <row r="81" spans="11:15" ht="16" thickBot="1">
      <c r="K81" t="s">
        <v>188</v>
      </c>
      <c r="L81" t="s">
        <v>242</v>
      </c>
      <c r="M81" t="s">
        <v>198</v>
      </c>
      <c r="N81">
        <v>5.6985406771885101</v>
      </c>
      <c r="O81" s="41"/>
    </row>
    <row r="82" spans="11:15" ht="16" thickBot="1">
      <c r="K82" t="s">
        <v>185</v>
      </c>
      <c r="L82" t="s">
        <v>243</v>
      </c>
      <c r="M82" t="s">
        <v>243</v>
      </c>
      <c r="N82">
        <v>2.94765576651145</v>
      </c>
      <c r="O82" s="41"/>
    </row>
    <row r="83" spans="11:15" ht="16" thickBot="1">
      <c r="K83" t="s">
        <v>184</v>
      </c>
      <c r="L83" t="s">
        <v>243</v>
      </c>
      <c r="M83" t="s">
        <v>243</v>
      </c>
      <c r="N83">
        <v>10.9706132430924</v>
      </c>
      <c r="O83" s="41"/>
    </row>
    <row r="84" spans="11:15" ht="16" thickBot="1">
      <c r="K84" t="s">
        <v>188</v>
      </c>
      <c r="L84" t="s">
        <v>243</v>
      </c>
      <c r="M84" t="s">
        <v>243</v>
      </c>
      <c r="N84">
        <v>0</v>
      </c>
      <c r="O84" s="41"/>
    </row>
    <row r="85" spans="11:15" ht="16" thickBot="1">
      <c r="K85" t="s">
        <v>185</v>
      </c>
      <c r="L85" t="s">
        <v>244</v>
      </c>
      <c r="M85" t="s">
        <v>245</v>
      </c>
      <c r="N85">
        <v>1.4888076490448301</v>
      </c>
      <c r="O85" s="41"/>
    </row>
    <row r="86" spans="11:15" ht="16" thickBot="1">
      <c r="K86" t="s">
        <v>184</v>
      </c>
      <c r="L86" t="s">
        <v>244</v>
      </c>
      <c r="M86" t="s">
        <v>245</v>
      </c>
      <c r="N86">
        <v>0</v>
      </c>
      <c r="O86" s="41"/>
    </row>
    <row r="87" spans="11:15" ht="16" thickBot="1">
      <c r="K87" t="s">
        <v>188</v>
      </c>
      <c r="L87" t="s">
        <v>244</v>
      </c>
      <c r="M87" t="s">
        <v>245</v>
      </c>
      <c r="N87">
        <v>0</v>
      </c>
      <c r="O87" s="41"/>
    </row>
    <row r="88" spans="11:15" ht="16" thickBot="1">
      <c r="K88" t="s">
        <v>185</v>
      </c>
      <c r="L88" t="s">
        <v>246</v>
      </c>
      <c r="M88" t="s">
        <v>245</v>
      </c>
      <c r="N88">
        <v>4.1268313590939902</v>
      </c>
      <c r="O88" s="41"/>
    </row>
    <row r="89" spans="11:15" ht="16" thickBot="1">
      <c r="K89" t="s">
        <v>184</v>
      </c>
      <c r="L89" t="s">
        <v>246</v>
      </c>
      <c r="M89" t="s">
        <v>245</v>
      </c>
      <c r="N89">
        <v>0</v>
      </c>
      <c r="O89" s="41"/>
    </row>
    <row r="90" spans="11:15" ht="16" thickBot="1">
      <c r="K90" t="s">
        <v>188</v>
      </c>
      <c r="L90" t="s">
        <v>246</v>
      </c>
      <c r="M90" t="s">
        <v>245</v>
      </c>
      <c r="N90">
        <v>0</v>
      </c>
      <c r="O90" s="41"/>
    </row>
    <row r="91" spans="11:15" ht="16" thickBot="1">
      <c r="K91" t="s">
        <v>185</v>
      </c>
      <c r="L91" t="s">
        <v>247</v>
      </c>
      <c r="M91" t="s">
        <v>245</v>
      </c>
      <c r="N91">
        <v>3.5665021156998602</v>
      </c>
      <c r="O91" s="41"/>
    </row>
    <row r="92" spans="11:15">
      <c r="K92" t="s">
        <v>184</v>
      </c>
      <c r="L92" t="s">
        <v>247</v>
      </c>
      <c r="M92" t="s">
        <v>245</v>
      </c>
      <c r="N92">
        <v>0</v>
      </c>
    </row>
    <row r="93" spans="11:15">
      <c r="K93" t="s">
        <v>188</v>
      </c>
      <c r="L93" t="s">
        <v>247</v>
      </c>
      <c r="M93" t="s">
        <v>245</v>
      </c>
      <c r="N93">
        <v>0</v>
      </c>
    </row>
    <row r="94" spans="11:15">
      <c r="K94" t="s">
        <v>185</v>
      </c>
      <c r="L94" t="s">
        <v>248</v>
      </c>
      <c r="M94" t="s">
        <v>249</v>
      </c>
      <c r="N94">
        <v>7.8948559115503096</v>
      </c>
    </row>
    <row r="95" spans="11:15">
      <c r="K95" t="s">
        <v>184</v>
      </c>
      <c r="L95" t="s">
        <v>248</v>
      </c>
      <c r="M95" t="s">
        <v>249</v>
      </c>
      <c r="N95">
        <v>6.93438898169721</v>
      </c>
    </row>
    <row r="96" spans="11:15">
      <c r="K96" t="s">
        <v>188</v>
      </c>
      <c r="L96" t="s">
        <v>248</v>
      </c>
      <c r="M96" t="s">
        <v>249</v>
      </c>
      <c r="N96">
        <v>6.4997530789473199</v>
      </c>
    </row>
    <row r="97" spans="11:14">
      <c r="K97" t="s">
        <v>185</v>
      </c>
      <c r="L97" t="s">
        <v>250</v>
      </c>
      <c r="M97" t="s">
        <v>249</v>
      </c>
      <c r="N97">
        <v>0.42059294541933301</v>
      </c>
    </row>
    <row r="98" spans="11:14">
      <c r="K98" t="s">
        <v>184</v>
      </c>
      <c r="L98" t="s">
        <v>250</v>
      </c>
      <c r="M98" t="s">
        <v>249</v>
      </c>
      <c r="N98">
        <v>0.67737102492262802</v>
      </c>
    </row>
    <row r="99" spans="11:14">
      <c r="K99" t="s">
        <v>188</v>
      </c>
      <c r="L99" t="s">
        <v>250</v>
      </c>
      <c r="M99" t="s">
        <v>249</v>
      </c>
      <c r="N99">
        <v>0</v>
      </c>
    </row>
    <row r="100" spans="11:14">
      <c r="K100" t="s">
        <v>185</v>
      </c>
      <c r="L100" t="s">
        <v>251</v>
      </c>
      <c r="M100" t="s">
        <v>249</v>
      </c>
      <c r="N100">
        <v>1.5981964307486001</v>
      </c>
    </row>
    <row r="101" spans="11:14">
      <c r="K101" t="s">
        <v>184</v>
      </c>
      <c r="L101" t="s">
        <v>251</v>
      </c>
      <c r="M101" t="s">
        <v>249</v>
      </c>
      <c r="N101">
        <v>1.0462962113426599</v>
      </c>
    </row>
    <row r="102" spans="11:14">
      <c r="K102" t="s">
        <v>188</v>
      </c>
      <c r="L102" t="s">
        <v>251</v>
      </c>
      <c r="M102" t="s">
        <v>249</v>
      </c>
      <c r="N102">
        <v>0</v>
      </c>
    </row>
    <row r="103" spans="11:14">
      <c r="K103" t="s">
        <v>185</v>
      </c>
      <c r="L103" t="s">
        <v>252</v>
      </c>
      <c r="M103" t="s">
        <v>249</v>
      </c>
      <c r="N103">
        <v>16.777235006674101</v>
      </c>
    </row>
    <row r="104" spans="11:14">
      <c r="K104" t="s">
        <v>184</v>
      </c>
      <c r="L104" t="s">
        <v>252</v>
      </c>
      <c r="M104" t="s">
        <v>249</v>
      </c>
      <c r="N104">
        <v>5.6629043898907296</v>
      </c>
    </row>
    <row r="105" spans="11:14">
      <c r="K105" t="s">
        <v>188</v>
      </c>
      <c r="L105" t="s">
        <v>252</v>
      </c>
      <c r="M105" t="s">
        <v>249</v>
      </c>
      <c r="N105">
        <v>0</v>
      </c>
    </row>
    <row r="106" spans="11:14">
      <c r="K106" t="s">
        <v>185</v>
      </c>
      <c r="L106" t="s">
        <v>253</v>
      </c>
      <c r="M106" t="s">
        <v>249</v>
      </c>
      <c r="N106">
        <v>1.55238937701123</v>
      </c>
    </row>
    <row r="107" spans="11:14">
      <c r="K107" t="s">
        <v>184</v>
      </c>
      <c r="L107" t="s">
        <v>253</v>
      </c>
      <c r="M107" t="s">
        <v>249</v>
      </c>
      <c r="N107">
        <v>0</v>
      </c>
    </row>
    <row r="108" spans="11:14">
      <c r="K108" t="s">
        <v>188</v>
      </c>
      <c r="L108" t="s">
        <v>253</v>
      </c>
      <c r="M108" t="s">
        <v>249</v>
      </c>
      <c r="N108">
        <v>0</v>
      </c>
    </row>
    <row r="109" spans="11:14">
      <c r="K109" t="s">
        <v>185</v>
      </c>
      <c r="L109" t="s">
        <v>254</v>
      </c>
      <c r="M109" t="s">
        <v>249</v>
      </c>
      <c r="N109">
        <v>0.25436927233511097</v>
      </c>
    </row>
    <row r="110" spans="11:14">
      <c r="K110" t="s">
        <v>184</v>
      </c>
      <c r="L110" t="s">
        <v>254</v>
      </c>
      <c r="M110" t="s">
        <v>249</v>
      </c>
      <c r="N110">
        <v>0.47087784020541301</v>
      </c>
    </row>
    <row r="111" spans="11:14">
      <c r="K111" t="s">
        <v>188</v>
      </c>
      <c r="L111" t="s">
        <v>254</v>
      </c>
      <c r="M111" t="s">
        <v>249</v>
      </c>
      <c r="N111">
        <v>0</v>
      </c>
    </row>
    <row r="112" spans="11:14">
      <c r="K112" t="s">
        <v>185</v>
      </c>
      <c r="L112" t="s">
        <v>255</v>
      </c>
      <c r="M112" t="s">
        <v>249</v>
      </c>
      <c r="N112">
        <v>1.04814995570537</v>
      </c>
    </row>
    <row r="113" spans="11:18">
      <c r="K113" t="s">
        <v>184</v>
      </c>
      <c r="L113" t="s">
        <v>255</v>
      </c>
      <c r="M113" t="s">
        <v>249</v>
      </c>
      <c r="N113">
        <v>0</v>
      </c>
    </row>
    <row r="114" spans="11:18">
      <c r="K114" t="s">
        <v>188</v>
      </c>
      <c r="L114" t="s">
        <v>255</v>
      </c>
      <c r="M114" t="s">
        <v>249</v>
      </c>
      <c r="N114" s="32">
        <v>8.3017748291358898E-5</v>
      </c>
      <c r="R114" s="32"/>
    </row>
    <row r="115" spans="11:18">
      <c r="K115" t="s">
        <v>185</v>
      </c>
      <c r="L115" t="s">
        <v>256</v>
      </c>
      <c r="M115" t="s">
        <v>249</v>
      </c>
      <c r="N115">
        <v>5.5936340331486697E-3</v>
      </c>
    </row>
    <row r="116" spans="11:18">
      <c r="K116" t="s">
        <v>184</v>
      </c>
      <c r="L116" t="s">
        <v>256</v>
      </c>
      <c r="M116" t="s">
        <v>249</v>
      </c>
      <c r="N116">
        <v>4.5202561882917098E-3</v>
      </c>
    </row>
    <row r="117" spans="11:18">
      <c r="K117" t="s">
        <v>188</v>
      </c>
      <c r="L117" t="s">
        <v>256</v>
      </c>
      <c r="M117" t="s">
        <v>249</v>
      </c>
      <c r="N117">
        <v>0</v>
      </c>
    </row>
    <row r="118" spans="11:18">
      <c r="K118" t="s">
        <v>185</v>
      </c>
      <c r="L118" t="s">
        <v>257</v>
      </c>
      <c r="M118" t="s">
        <v>245</v>
      </c>
      <c r="N118">
        <v>9.4318874855545101</v>
      </c>
    </row>
    <row r="119" spans="11:18">
      <c r="K119" t="s">
        <v>184</v>
      </c>
      <c r="L119" t="s">
        <v>257</v>
      </c>
      <c r="M119" t="s">
        <v>245</v>
      </c>
      <c r="N119">
        <v>2.5124744729980302</v>
      </c>
    </row>
    <row r="120" spans="11:18">
      <c r="K120" t="s">
        <v>188</v>
      </c>
      <c r="L120" t="s">
        <v>257</v>
      </c>
      <c r="M120" t="s">
        <v>245</v>
      </c>
      <c r="N120">
        <v>0</v>
      </c>
    </row>
    <row r="121" spans="11:18">
      <c r="K121" t="s">
        <v>185</v>
      </c>
      <c r="L121" t="s">
        <v>258</v>
      </c>
      <c r="M121" t="s">
        <v>210</v>
      </c>
      <c r="N121">
        <v>0.83632260912968304</v>
      </c>
    </row>
    <row r="122" spans="11:18">
      <c r="K122" t="s">
        <v>184</v>
      </c>
      <c r="L122" t="s">
        <v>258</v>
      </c>
      <c r="M122" t="s">
        <v>210</v>
      </c>
      <c r="N122">
        <v>0.93449915273377704</v>
      </c>
    </row>
    <row r="123" spans="11:18">
      <c r="K123" t="s">
        <v>188</v>
      </c>
      <c r="L123" t="s">
        <v>258</v>
      </c>
      <c r="M123" t="s">
        <v>210</v>
      </c>
      <c r="N123">
        <v>9.7375598875736796E-2</v>
      </c>
    </row>
    <row r="124" spans="11:18">
      <c r="K124" t="s">
        <v>185</v>
      </c>
      <c r="L124" t="s">
        <v>259</v>
      </c>
      <c r="M124" t="s">
        <v>210</v>
      </c>
      <c r="N124">
        <v>0.26617843815756498</v>
      </c>
    </row>
    <row r="125" spans="11:18">
      <c r="K125" t="s">
        <v>184</v>
      </c>
      <c r="L125" t="s">
        <v>259</v>
      </c>
      <c r="M125" t="s">
        <v>210</v>
      </c>
      <c r="N125">
        <v>1.22073784870528</v>
      </c>
    </row>
    <row r="126" spans="11:18">
      <c r="K126" t="s">
        <v>188</v>
      </c>
      <c r="L126" t="s">
        <v>259</v>
      </c>
      <c r="M126" t="s">
        <v>210</v>
      </c>
      <c r="N126">
        <v>0.112225018539654</v>
      </c>
    </row>
    <row r="127" spans="11:18">
      <c r="K127" t="s">
        <v>185</v>
      </c>
      <c r="L127" t="s">
        <v>260</v>
      </c>
      <c r="M127" t="s">
        <v>210</v>
      </c>
      <c r="N127">
        <v>3.13102617449404</v>
      </c>
    </row>
    <row r="128" spans="11:18">
      <c r="K128" t="s">
        <v>184</v>
      </c>
      <c r="L128" t="s">
        <v>260</v>
      </c>
      <c r="M128" t="s">
        <v>210</v>
      </c>
      <c r="N128">
        <v>2.1968086517678498</v>
      </c>
    </row>
    <row r="129" spans="11:14">
      <c r="K129" t="s">
        <v>188</v>
      </c>
      <c r="L129" t="s">
        <v>260</v>
      </c>
      <c r="M129" t="s">
        <v>210</v>
      </c>
      <c r="N129">
        <v>2.2265402432557302E-3</v>
      </c>
    </row>
    <row r="130" spans="11:14">
      <c r="K130" t="s">
        <v>185</v>
      </c>
      <c r="L130" t="s">
        <v>261</v>
      </c>
      <c r="M130" t="s">
        <v>210</v>
      </c>
      <c r="N130">
        <v>0.90130906614469097</v>
      </c>
    </row>
    <row r="131" spans="11:14">
      <c r="K131" t="s">
        <v>184</v>
      </c>
      <c r="L131" t="s">
        <v>261</v>
      </c>
      <c r="M131" t="s">
        <v>210</v>
      </c>
      <c r="N131">
        <v>0.15856405490450901</v>
      </c>
    </row>
    <row r="132" spans="11:14">
      <c r="K132" t="s">
        <v>188</v>
      </c>
      <c r="L132" t="s">
        <v>261</v>
      </c>
      <c r="M132" t="s">
        <v>210</v>
      </c>
      <c r="N132">
        <v>8.1481724424173202E-3</v>
      </c>
    </row>
    <row r="133" spans="11:14">
      <c r="K133" t="s">
        <v>185</v>
      </c>
      <c r="L133" t="s">
        <v>262</v>
      </c>
      <c r="M133" t="s">
        <v>263</v>
      </c>
      <c r="N133">
        <v>0.39375871042730898</v>
      </c>
    </row>
    <row r="134" spans="11:14">
      <c r="K134" t="s">
        <v>184</v>
      </c>
      <c r="L134" t="s">
        <v>262</v>
      </c>
      <c r="M134" t="s">
        <v>263</v>
      </c>
      <c r="N134">
        <v>2.0875783396015599</v>
      </c>
    </row>
    <row r="135" spans="11:14">
      <c r="K135" t="s">
        <v>188</v>
      </c>
      <c r="L135" t="s">
        <v>262</v>
      </c>
      <c r="M135" t="s">
        <v>263</v>
      </c>
      <c r="N135">
        <v>7.2941899271274796E-4</v>
      </c>
    </row>
    <row r="136" spans="11:14">
      <c r="K136" t="s">
        <v>185</v>
      </c>
      <c r="L136" t="s">
        <v>264</v>
      </c>
      <c r="M136" t="s">
        <v>263</v>
      </c>
      <c r="N136">
        <v>2.2019538255955502</v>
      </c>
    </row>
    <row r="137" spans="11:14">
      <c r="K137" t="s">
        <v>184</v>
      </c>
      <c r="L137" t="s">
        <v>264</v>
      </c>
      <c r="M137" t="s">
        <v>263</v>
      </c>
      <c r="N137">
        <v>0.62668609127879205</v>
      </c>
    </row>
    <row r="138" spans="11:14">
      <c r="K138" t="s">
        <v>188</v>
      </c>
      <c r="L138" t="s">
        <v>264</v>
      </c>
      <c r="M138" t="s">
        <v>263</v>
      </c>
      <c r="N138">
        <v>2.3085560156974399E-4</v>
      </c>
    </row>
    <row r="139" spans="11:14">
      <c r="K139" t="s">
        <v>185</v>
      </c>
      <c r="L139" t="s">
        <v>265</v>
      </c>
      <c r="M139" t="s">
        <v>263</v>
      </c>
      <c r="N139">
        <v>0.33599788120990198</v>
      </c>
    </row>
    <row r="140" spans="11:14">
      <c r="K140" t="s">
        <v>184</v>
      </c>
      <c r="L140" t="s">
        <v>265</v>
      </c>
      <c r="M140" t="s">
        <v>263</v>
      </c>
      <c r="N140">
        <v>1.67059171584685</v>
      </c>
    </row>
    <row r="141" spans="11:14">
      <c r="K141" t="s">
        <v>188</v>
      </c>
      <c r="L141" t="s">
        <v>265</v>
      </c>
      <c r="M141" t="s">
        <v>263</v>
      </c>
      <c r="N141">
        <v>1.7538922346929098E-2</v>
      </c>
    </row>
    <row r="142" spans="11:14">
      <c r="K142" t="s">
        <v>185</v>
      </c>
      <c r="L142" t="s">
        <v>266</v>
      </c>
      <c r="M142" t="s">
        <v>263</v>
      </c>
      <c r="N142">
        <v>1.5757282984148699</v>
      </c>
    </row>
    <row r="143" spans="11:14">
      <c r="K143" t="s">
        <v>184</v>
      </c>
      <c r="L143" t="s">
        <v>266</v>
      </c>
      <c r="M143" t="s">
        <v>263</v>
      </c>
      <c r="N143">
        <v>3.0869601901313102</v>
      </c>
    </row>
    <row r="144" spans="11:14">
      <c r="K144" t="s">
        <v>188</v>
      </c>
      <c r="L144" t="s">
        <v>266</v>
      </c>
      <c r="M144" t="s">
        <v>263</v>
      </c>
      <c r="N144">
        <v>0</v>
      </c>
    </row>
    <row r="145" spans="11:14">
      <c r="K145" t="s">
        <v>185</v>
      </c>
      <c r="L145" t="s">
        <v>267</v>
      </c>
      <c r="M145" t="s">
        <v>263</v>
      </c>
      <c r="N145">
        <v>0.46345766123402798</v>
      </c>
    </row>
    <row r="146" spans="11:14">
      <c r="K146" t="s">
        <v>184</v>
      </c>
      <c r="L146" t="s">
        <v>267</v>
      </c>
      <c r="M146" t="s">
        <v>263</v>
      </c>
      <c r="N146">
        <v>0.81459913710382703</v>
      </c>
    </row>
    <row r="147" spans="11:14">
      <c r="K147" t="s">
        <v>188</v>
      </c>
      <c r="L147" t="s">
        <v>267</v>
      </c>
      <c r="M147" t="s">
        <v>263</v>
      </c>
      <c r="N147">
        <v>0</v>
      </c>
    </row>
    <row r="148" spans="11:14">
      <c r="K148" t="s">
        <v>185</v>
      </c>
      <c r="L148" t="s">
        <v>268</v>
      </c>
      <c r="M148" t="s">
        <v>269</v>
      </c>
      <c r="N148">
        <v>0.56304975217122799</v>
      </c>
    </row>
    <row r="149" spans="11:14">
      <c r="K149" t="s">
        <v>184</v>
      </c>
      <c r="L149" t="s">
        <v>268</v>
      </c>
      <c r="M149" t="s">
        <v>269</v>
      </c>
      <c r="N149">
        <v>0.41776980475160502</v>
      </c>
    </row>
    <row r="150" spans="11:14">
      <c r="K150" t="s">
        <v>188</v>
      </c>
      <c r="L150" t="s">
        <v>268</v>
      </c>
      <c r="M150" t="s">
        <v>269</v>
      </c>
      <c r="N150">
        <v>2.26856896409912E-2</v>
      </c>
    </row>
    <row r="151" spans="11:14">
      <c r="K151" t="s">
        <v>185</v>
      </c>
      <c r="L151" t="s">
        <v>270</v>
      </c>
      <c r="M151" t="s">
        <v>269</v>
      </c>
      <c r="N151">
        <v>2.7864258574907299</v>
      </c>
    </row>
    <row r="152" spans="11:14">
      <c r="K152" t="s">
        <v>184</v>
      </c>
      <c r="L152" t="s">
        <v>270</v>
      </c>
      <c r="M152" t="s">
        <v>269</v>
      </c>
      <c r="N152">
        <v>13.9054242456277</v>
      </c>
    </row>
    <row r="153" spans="11:14">
      <c r="K153" t="s">
        <v>188</v>
      </c>
      <c r="L153" t="s">
        <v>270</v>
      </c>
      <c r="M153" t="s">
        <v>269</v>
      </c>
      <c r="N153">
        <v>0.97650775605489304</v>
      </c>
    </row>
    <row r="154" spans="11:14">
      <c r="K154" t="s">
        <v>185</v>
      </c>
      <c r="L154" t="s">
        <v>271</v>
      </c>
      <c r="M154" t="s">
        <v>269</v>
      </c>
      <c r="N154">
        <v>2.4568673287304899</v>
      </c>
    </row>
    <row r="155" spans="11:14">
      <c r="K155" t="s">
        <v>184</v>
      </c>
      <c r="L155" t="s">
        <v>271</v>
      </c>
      <c r="M155" t="s">
        <v>269</v>
      </c>
      <c r="N155">
        <v>0.54898666898149795</v>
      </c>
    </row>
    <row r="156" spans="11:14">
      <c r="K156" t="s">
        <v>188</v>
      </c>
      <c r="L156" t="s">
        <v>271</v>
      </c>
      <c r="M156" t="s">
        <v>269</v>
      </c>
      <c r="N156">
        <v>0.64156097352758501</v>
      </c>
    </row>
    <row r="157" spans="11:14">
      <c r="K157" t="s">
        <v>185</v>
      </c>
      <c r="L157" t="s">
        <v>272</v>
      </c>
      <c r="M157" t="s">
        <v>269</v>
      </c>
      <c r="N157">
        <v>0</v>
      </c>
    </row>
    <row r="158" spans="11:14">
      <c r="K158" t="s">
        <v>184</v>
      </c>
      <c r="L158" t="s">
        <v>272</v>
      </c>
      <c r="M158" t="s">
        <v>269</v>
      </c>
      <c r="N158">
        <v>0</v>
      </c>
    </row>
    <row r="159" spans="11:14">
      <c r="K159" t="s">
        <v>188</v>
      </c>
      <c r="L159" t="s">
        <v>272</v>
      </c>
      <c r="M159" t="s">
        <v>269</v>
      </c>
      <c r="N159">
        <v>0</v>
      </c>
    </row>
    <row r="160" spans="11:14">
      <c r="K160" t="s">
        <v>185</v>
      </c>
      <c r="L160" t="s">
        <v>273</v>
      </c>
      <c r="M160" t="s">
        <v>269</v>
      </c>
      <c r="N160">
        <v>0.38391328809955999</v>
      </c>
    </row>
    <row r="161" spans="11:14">
      <c r="K161" t="s">
        <v>184</v>
      </c>
      <c r="L161" t="s">
        <v>273</v>
      </c>
      <c r="M161" t="s">
        <v>269</v>
      </c>
      <c r="N161">
        <v>0.35993192797224699</v>
      </c>
    </row>
    <row r="162" spans="11:14">
      <c r="K162" t="s">
        <v>188</v>
      </c>
      <c r="L162" t="s">
        <v>273</v>
      </c>
      <c r="M162" t="s">
        <v>269</v>
      </c>
      <c r="N162">
        <v>1.9976070005147898E-3</v>
      </c>
    </row>
    <row r="163" spans="11:14">
      <c r="K163" t="s">
        <v>185</v>
      </c>
      <c r="L163" t="s">
        <v>274</v>
      </c>
      <c r="M163" t="s">
        <v>269</v>
      </c>
      <c r="N163">
        <v>2.2384612499232199</v>
      </c>
    </row>
    <row r="164" spans="11:14">
      <c r="K164" t="s">
        <v>184</v>
      </c>
      <c r="L164" t="s">
        <v>274</v>
      </c>
      <c r="M164" t="s">
        <v>269</v>
      </c>
      <c r="N164">
        <v>2.9798336769372602</v>
      </c>
    </row>
    <row r="165" spans="11:14">
      <c r="K165" t="s">
        <v>188</v>
      </c>
      <c r="L165" t="s">
        <v>274</v>
      </c>
      <c r="M165" t="s">
        <v>269</v>
      </c>
      <c r="N165">
        <v>0</v>
      </c>
    </row>
    <row r="166" spans="11:14">
      <c r="K166" t="s">
        <v>185</v>
      </c>
      <c r="L166" t="s">
        <v>275</v>
      </c>
      <c r="M166" t="s">
        <v>276</v>
      </c>
      <c r="N166">
        <v>2.0119388474597502</v>
      </c>
    </row>
    <row r="167" spans="11:14">
      <c r="K167" t="s">
        <v>184</v>
      </c>
      <c r="L167" t="s">
        <v>275</v>
      </c>
      <c r="M167" t="s">
        <v>276</v>
      </c>
      <c r="N167">
        <v>6.8797274658092702</v>
      </c>
    </row>
    <row r="168" spans="11:14">
      <c r="K168" t="s">
        <v>188</v>
      </c>
      <c r="L168" t="s">
        <v>275</v>
      </c>
      <c r="M168" t="s">
        <v>276</v>
      </c>
      <c r="N168">
        <v>1.9696750099056099E-2</v>
      </c>
    </row>
    <row r="169" spans="11:14">
      <c r="K169" t="s">
        <v>185</v>
      </c>
      <c r="L169" t="s">
        <v>277</v>
      </c>
      <c r="M169" t="s">
        <v>276</v>
      </c>
      <c r="N169">
        <v>12.281312755214101</v>
      </c>
    </row>
    <row r="170" spans="11:14">
      <c r="K170" t="s">
        <v>184</v>
      </c>
      <c r="L170" t="s">
        <v>277</v>
      </c>
      <c r="M170" t="s">
        <v>276</v>
      </c>
      <c r="N170">
        <v>0</v>
      </c>
    </row>
    <row r="171" spans="11:14">
      <c r="K171" t="s">
        <v>188</v>
      </c>
      <c r="L171" t="s">
        <v>277</v>
      </c>
      <c r="M171" t="s">
        <v>276</v>
      </c>
      <c r="N171">
        <v>0</v>
      </c>
    </row>
    <row r="172" spans="11:14">
      <c r="K172" t="s">
        <v>185</v>
      </c>
      <c r="L172" t="s">
        <v>278</v>
      </c>
      <c r="M172" t="s">
        <v>276</v>
      </c>
      <c r="N172">
        <v>18.794632776667498</v>
      </c>
    </row>
    <row r="173" spans="11:14">
      <c r="K173" t="s">
        <v>184</v>
      </c>
      <c r="L173" t="s">
        <v>278</v>
      </c>
      <c r="M173" t="s">
        <v>276</v>
      </c>
      <c r="N173">
        <v>0</v>
      </c>
    </row>
    <row r="174" spans="11:14">
      <c r="K174" t="s">
        <v>188</v>
      </c>
      <c r="L174" t="s">
        <v>278</v>
      </c>
      <c r="M174" t="s">
        <v>276</v>
      </c>
      <c r="N174">
        <v>1.3198404187552901E-3</v>
      </c>
    </row>
    <row r="175" spans="11:14">
      <c r="K175" t="s">
        <v>185</v>
      </c>
      <c r="L175" t="s">
        <v>279</v>
      </c>
      <c r="M175" t="s">
        <v>276</v>
      </c>
      <c r="N175">
        <v>4.26661165089397</v>
      </c>
    </row>
    <row r="176" spans="11:14">
      <c r="K176" t="s">
        <v>184</v>
      </c>
      <c r="L176" t="s">
        <v>279</v>
      </c>
      <c r="M176" t="s">
        <v>276</v>
      </c>
      <c r="N176">
        <v>0</v>
      </c>
    </row>
    <row r="177" spans="11:14">
      <c r="K177" t="s">
        <v>188</v>
      </c>
      <c r="L177" t="s">
        <v>279</v>
      </c>
      <c r="M177" t="s">
        <v>276</v>
      </c>
      <c r="N177">
        <v>0</v>
      </c>
    </row>
    <row r="178" spans="11:14">
      <c r="K178" t="s">
        <v>185</v>
      </c>
      <c r="L178" t="s">
        <v>280</v>
      </c>
      <c r="M178" t="s">
        <v>276</v>
      </c>
      <c r="N178">
        <v>4.0784642532470201</v>
      </c>
    </row>
    <row r="179" spans="11:14">
      <c r="K179" t="s">
        <v>184</v>
      </c>
      <c r="L179" t="s">
        <v>280</v>
      </c>
      <c r="M179" t="s">
        <v>276</v>
      </c>
      <c r="N179">
        <v>0</v>
      </c>
    </row>
    <row r="180" spans="11:14">
      <c r="K180" t="s">
        <v>188</v>
      </c>
      <c r="L180" t="s">
        <v>280</v>
      </c>
      <c r="M180" t="s">
        <v>276</v>
      </c>
      <c r="N180">
        <v>0</v>
      </c>
    </row>
    <row r="181" spans="11:14">
      <c r="K181" t="s">
        <v>185</v>
      </c>
      <c r="L181" t="s">
        <v>281</v>
      </c>
      <c r="M181" t="s">
        <v>282</v>
      </c>
      <c r="N181">
        <v>0.63109977178701204</v>
      </c>
    </row>
    <row r="182" spans="11:14">
      <c r="K182" t="s">
        <v>184</v>
      </c>
      <c r="L182" t="s">
        <v>281</v>
      </c>
      <c r="M182" t="s">
        <v>282</v>
      </c>
      <c r="N182">
        <v>0.13532425643000501</v>
      </c>
    </row>
    <row r="183" spans="11:14">
      <c r="K183" t="s">
        <v>188</v>
      </c>
      <c r="L183" t="s">
        <v>281</v>
      </c>
      <c r="M183" t="s">
        <v>282</v>
      </c>
      <c r="N183">
        <v>2.69325874408206E-2</v>
      </c>
    </row>
    <row r="184" spans="11:14">
      <c r="K184" t="s">
        <v>185</v>
      </c>
      <c r="L184" t="s">
        <v>283</v>
      </c>
      <c r="M184" t="s">
        <v>282</v>
      </c>
      <c r="N184">
        <v>2.4820743211822598</v>
      </c>
    </row>
    <row r="185" spans="11:14">
      <c r="K185" t="s">
        <v>184</v>
      </c>
      <c r="L185" t="s">
        <v>283</v>
      </c>
      <c r="M185" t="s">
        <v>282</v>
      </c>
      <c r="N185">
        <v>9.1108723382295906</v>
      </c>
    </row>
    <row r="186" spans="11:14">
      <c r="K186" t="s">
        <v>188</v>
      </c>
      <c r="L186" t="s">
        <v>283</v>
      </c>
      <c r="M186" t="s">
        <v>282</v>
      </c>
      <c r="N186">
        <v>0</v>
      </c>
    </row>
    <row r="187" spans="11:14">
      <c r="K187" t="s">
        <v>185</v>
      </c>
      <c r="L187" t="s">
        <v>284</v>
      </c>
      <c r="M187" t="s">
        <v>282</v>
      </c>
      <c r="N187">
        <v>2.1451591752124499</v>
      </c>
    </row>
    <row r="188" spans="11:14">
      <c r="K188" t="s">
        <v>184</v>
      </c>
      <c r="L188" t="s">
        <v>284</v>
      </c>
      <c r="M188" t="s">
        <v>282</v>
      </c>
      <c r="N188">
        <v>0.95391419502472397</v>
      </c>
    </row>
    <row r="189" spans="11:14">
      <c r="K189" t="s">
        <v>188</v>
      </c>
      <c r="L189" t="s">
        <v>284</v>
      </c>
      <c r="M189" t="s">
        <v>282</v>
      </c>
      <c r="N189">
        <v>0</v>
      </c>
    </row>
    <row r="190" spans="11:14">
      <c r="K190" t="s">
        <v>185</v>
      </c>
      <c r="L190" t="s">
        <v>285</v>
      </c>
      <c r="M190" t="s">
        <v>282</v>
      </c>
      <c r="N190">
        <v>15.5508039050449</v>
      </c>
    </row>
    <row r="191" spans="11:14">
      <c r="K191" t="s">
        <v>184</v>
      </c>
      <c r="L191" t="s">
        <v>285</v>
      </c>
      <c r="M191" t="s">
        <v>282</v>
      </c>
      <c r="N191">
        <v>0</v>
      </c>
    </row>
    <row r="192" spans="11:14">
      <c r="K192" t="s">
        <v>188</v>
      </c>
      <c r="L192" t="s">
        <v>285</v>
      </c>
      <c r="M192" t="s">
        <v>282</v>
      </c>
      <c r="N192">
        <v>0</v>
      </c>
    </row>
    <row r="193" spans="11:14">
      <c r="K193" t="s">
        <v>185</v>
      </c>
      <c r="L193" t="s">
        <v>286</v>
      </c>
      <c r="M193" t="s">
        <v>286</v>
      </c>
      <c r="N193">
        <v>8.4337882248853298</v>
      </c>
    </row>
    <row r="194" spans="11:14">
      <c r="K194" t="s">
        <v>184</v>
      </c>
      <c r="L194" t="s">
        <v>286</v>
      </c>
      <c r="M194" t="s">
        <v>286</v>
      </c>
      <c r="N194">
        <v>1.3929878270703899</v>
      </c>
    </row>
    <row r="195" spans="11:14">
      <c r="K195" t="s">
        <v>188</v>
      </c>
      <c r="L195" t="s">
        <v>286</v>
      </c>
      <c r="M195" t="s">
        <v>286</v>
      </c>
      <c r="N195">
        <v>2.0738582061243301E-2</v>
      </c>
    </row>
    <row r="196" spans="11:14">
      <c r="K196" t="s">
        <v>185</v>
      </c>
      <c r="L196" t="s">
        <v>219</v>
      </c>
      <c r="M196" t="s">
        <v>287</v>
      </c>
      <c r="N196">
        <v>102.569526719973</v>
      </c>
    </row>
    <row r="197" spans="11:14">
      <c r="K197" t="s">
        <v>184</v>
      </c>
      <c r="L197" t="s">
        <v>219</v>
      </c>
      <c r="M197" t="s">
        <v>287</v>
      </c>
      <c r="N197">
        <v>0</v>
      </c>
    </row>
    <row r="198" spans="11:14">
      <c r="K198" t="s">
        <v>188</v>
      </c>
      <c r="L198" t="s">
        <v>219</v>
      </c>
      <c r="M198" t="s">
        <v>287</v>
      </c>
      <c r="N198">
        <v>0</v>
      </c>
    </row>
    <row r="199" spans="11:14">
      <c r="K199" t="s">
        <v>185</v>
      </c>
      <c r="L199" t="s">
        <v>222</v>
      </c>
      <c r="M199" t="s">
        <v>287</v>
      </c>
      <c r="N199">
        <v>28.922154780152901</v>
      </c>
    </row>
    <row r="200" spans="11:14">
      <c r="K200" t="s">
        <v>184</v>
      </c>
      <c r="L200" t="s">
        <v>222</v>
      </c>
      <c r="M200" t="s">
        <v>287</v>
      </c>
      <c r="N200">
        <v>0</v>
      </c>
    </row>
    <row r="201" spans="11:14">
      <c r="K201" t="s">
        <v>188</v>
      </c>
      <c r="L201" t="s">
        <v>222</v>
      </c>
      <c r="M201" t="s">
        <v>287</v>
      </c>
      <c r="N201">
        <v>0</v>
      </c>
    </row>
    <row r="202" spans="11:14">
      <c r="K202" t="s">
        <v>185</v>
      </c>
      <c r="L202" t="s">
        <v>288</v>
      </c>
      <c r="M202" t="s">
        <v>227</v>
      </c>
      <c r="N202">
        <v>0.18262556094433999</v>
      </c>
    </row>
    <row r="203" spans="11:14">
      <c r="K203" t="s">
        <v>184</v>
      </c>
      <c r="L203" t="s">
        <v>288</v>
      </c>
      <c r="M203" t="s">
        <v>227</v>
      </c>
      <c r="N203">
        <v>0.59016314270643699</v>
      </c>
    </row>
    <row r="204" spans="11:14">
      <c r="K204" t="s">
        <v>188</v>
      </c>
      <c r="L204" t="s">
        <v>288</v>
      </c>
      <c r="M204" t="s">
        <v>227</v>
      </c>
      <c r="N204">
        <v>1.0924492505623099E-3</v>
      </c>
    </row>
    <row r="205" spans="11:14">
      <c r="K205" t="s">
        <v>185</v>
      </c>
      <c r="L205" t="s">
        <v>289</v>
      </c>
      <c r="M205" t="s">
        <v>227</v>
      </c>
      <c r="N205">
        <v>4.4419393953500403</v>
      </c>
    </row>
    <row r="206" spans="11:14">
      <c r="K206" t="s">
        <v>184</v>
      </c>
      <c r="L206" t="s">
        <v>289</v>
      </c>
      <c r="M206" t="s">
        <v>227</v>
      </c>
      <c r="N206">
        <v>0</v>
      </c>
    </row>
    <row r="207" spans="11:14">
      <c r="K207" t="s">
        <v>188</v>
      </c>
      <c r="L207" t="s">
        <v>289</v>
      </c>
      <c r="M207" t="s">
        <v>227</v>
      </c>
      <c r="N207">
        <v>0</v>
      </c>
    </row>
    <row r="208" spans="11:14">
      <c r="K208" t="s">
        <v>185</v>
      </c>
      <c r="L208" t="s">
        <v>290</v>
      </c>
      <c r="M208" t="s">
        <v>227</v>
      </c>
      <c r="N208">
        <v>3.0694749187691199</v>
      </c>
    </row>
    <row r="209" spans="11:14">
      <c r="K209" t="s">
        <v>184</v>
      </c>
      <c r="L209" t="s">
        <v>290</v>
      </c>
      <c r="M209" t="s">
        <v>227</v>
      </c>
      <c r="N209">
        <v>0</v>
      </c>
    </row>
    <row r="210" spans="11:14">
      <c r="K210" t="s">
        <v>188</v>
      </c>
      <c r="L210" t="s">
        <v>290</v>
      </c>
      <c r="M210" t="s">
        <v>227</v>
      </c>
      <c r="N210">
        <v>0</v>
      </c>
    </row>
    <row r="211" spans="11:14">
      <c r="K211" t="s">
        <v>185</v>
      </c>
      <c r="L211" t="s">
        <v>291</v>
      </c>
      <c r="M211" t="s">
        <v>227</v>
      </c>
      <c r="N211">
        <v>4.9031014749808</v>
      </c>
    </row>
    <row r="212" spans="11:14">
      <c r="K212" t="s">
        <v>184</v>
      </c>
      <c r="L212" t="s">
        <v>291</v>
      </c>
      <c r="M212" t="s">
        <v>227</v>
      </c>
      <c r="N212">
        <v>0</v>
      </c>
    </row>
    <row r="213" spans="11:14">
      <c r="K213" t="s">
        <v>188</v>
      </c>
      <c r="L213" t="s">
        <v>291</v>
      </c>
      <c r="M213" t="s">
        <v>227</v>
      </c>
      <c r="N213">
        <v>0</v>
      </c>
    </row>
    <row r="214" spans="11:14">
      <c r="K214" t="s">
        <v>185</v>
      </c>
      <c r="L214" t="s">
        <v>292</v>
      </c>
      <c r="M214" t="s">
        <v>227</v>
      </c>
      <c r="N214">
        <v>44.246927834370801</v>
      </c>
    </row>
    <row r="215" spans="11:14">
      <c r="K215" t="s">
        <v>184</v>
      </c>
      <c r="L215" t="s">
        <v>292</v>
      </c>
      <c r="M215" t="s">
        <v>227</v>
      </c>
      <c r="N215">
        <v>0</v>
      </c>
    </row>
    <row r="216" spans="11:14">
      <c r="K216" t="s">
        <v>188</v>
      </c>
      <c r="L216" t="s">
        <v>292</v>
      </c>
      <c r="M216" t="s">
        <v>227</v>
      </c>
      <c r="N216">
        <v>0</v>
      </c>
    </row>
    <row r="217" spans="11:14">
      <c r="K217" t="s">
        <v>185</v>
      </c>
      <c r="L217" t="s">
        <v>293</v>
      </c>
      <c r="M217" t="s">
        <v>263</v>
      </c>
      <c r="N217">
        <v>8.5030029197946408</v>
      </c>
    </row>
    <row r="218" spans="11:14">
      <c r="K218" t="s">
        <v>184</v>
      </c>
      <c r="L218" t="s">
        <v>293</v>
      </c>
      <c r="M218" t="s">
        <v>263</v>
      </c>
      <c r="N218">
        <v>0</v>
      </c>
    </row>
    <row r="219" spans="11:14">
      <c r="K219" t="s">
        <v>188</v>
      </c>
      <c r="L219" t="s">
        <v>293</v>
      </c>
      <c r="M219" t="s">
        <v>263</v>
      </c>
      <c r="N219">
        <v>0</v>
      </c>
    </row>
    <row r="220" spans="11:14">
      <c r="K220" t="s">
        <v>185</v>
      </c>
      <c r="L220" t="s">
        <v>294</v>
      </c>
      <c r="M220" t="s">
        <v>263</v>
      </c>
      <c r="N220">
        <v>3.28369508383035</v>
      </c>
    </row>
    <row r="221" spans="11:14">
      <c r="K221" t="s">
        <v>184</v>
      </c>
      <c r="L221" t="s">
        <v>294</v>
      </c>
      <c r="M221" t="s">
        <v>263</v>
      </c>
      <c r="N221">
        <v>0</v>
      </c>
    </row>
    <row r="222" spans="11:14">
      <c r="K222" t="s">
        <v>188</v>
      </c>
      <c r="L222" t="s">
        <v>294</v>
      </c>
      <c r="M222" t="s">
        <v>263</v>
      </c>
      <c r="N222">
        <v>0</v>
      </c>
    </row>
    <row r="223" spans="11:14">
      <c r="K223" t="s">
        <v>185</v>
      </c>
      <c r="L223" t="s">
        <v>295</v>
      </c>
      <c r="M223" t="s">
        <v>296</v>
      </c>
      <c r="N223">
        <v>-2.5412028980255901</v>
      </c>
    </row>
    <row r="224" spans="11:14">
      <c r="K224" t="s">
        <v>184</v>
      </c>
      <c r="L224" t="s">
        <v>295</v>
      </c>
      <c r="M224" t="s">
        <v>296</v>
      </c>
      <c r="N224">
        <v>0</v>
      </c>
    </row>
    <row r="225" spans="11:14">
      <c r="K225" t="s">
        <v>188</v>
      </c>
      <c r="L225" t="s">
        <v>295</v>
      </c>
      <c r="M225" t="s">
        <v>296</v>
      </c>
      <c r="N225">
        <v>2.2860166767334801E-2</v>
      </c>
    </row>
    <row r="226" spans="11:14">
      <c r="K226" t="s">
        <v>185</v>
      </c>
      <c r="L226" t="s">
        <v>297</v>
      </c>
      <c r="M226" t="s">
        <v>298</v>
      </c>
      <c r="N226">
        <v>-1.85674936427986</v>
      </c>
    </row>
    <row r="227" spans="11:14">
      <c r="K227" t="s">
        <v>184</v>
      </c>
      <c r="L227" t="s">
        <v>297</v>
      </c>
      <c r="M227" t="s">
        <v>298</v>
      </c>
      <c r="N227">
        <v>0</v>
      </c>
    </row>
    <row r="228" spans="11:14">
      <c r="K228" t="s">
        <v>188</v>
      </c>
      <c r="L228" t="s">
        <v>297</v>
      </c>
      <c r="M228" t="s">
        <v>298</v>
      </c>
      <c r="N228">
        <v>2.9189584458811</v>
      </c>
    </row>
  </sheetData>
  <mergeCells count="15">
    <mergeCell ref="H2:H3"/>
    <mergeCell ref="F1:I1"/>
    <mergeCell ref="F2:F3"/>
    <mergeCell ref="A2:A3"/>
    <mergeCell ref="I2:I3"/>
    <mergeCell ref="B2:B3"/>
    <mergeCell ref="C2:C3"/>
    <mergeCell ref="D2:D3"/>
    <mergeCell ref="A1:D1"/>
    <mergeCell ref="G2:G3"/>
    <mergeCell ref="K2:K3"/>
    <mergeCell ref="L2:L3"/>
    <mergeCell ref="M2:M3"/>
    <mergeCell ref="N2:N3"/>
    <mergeCell ref="K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25267-A25C-47E0-A0C2-C5B96A25524F}">
  <dimension ref="A1:C74"/>
  <sheetViews>
    <sheetView tabSelected="1" workbookViewId="0">
      <selection activeCell="C1" sqref="C1"/>
    </sheetView>
  </sheetViews>
  <sheetFormatPr baseColWidth="10" defaultColWidth="8.83203125" defaultRowHeight="15"/>
  <cols>
    <col min="1" max="1" width="18.83203125" customWidth="1"/>
    <col min="3" max="3" width="22.5" customWidth="1"/>
  </cols>
  <sheetData>
    <row r="1" spans="1:3" ht="17">
      <c r="A1" s="34" t="s">
        <v>299</v>
      </c>
      <c r="B1" s="34" t="s">
        <v>300</v>
      </c>
      <c r="C1" s="34" t="s">
        <v>301</v>
      </c>
    </row>
    <row r="2" spans="1:3" ht="51">
      <c r="A2" s="35" t="s">
        <v>187</v>
      </c>
      <c r="B2" s="35" t="s">
        <v>302</v>
      </c>
      <c r="C2" s="35" t="s">
        <v>186</v>
      </c>
    </row>
    <row r="3" spans="1:3" ht="68">
      <c r="A3" s="35" t="s">
        <v>187</v>
      </c>
      <c r="B3" s="35" t="s">
        <v>303</v>
      </c>
      <c r="C3" s="35" t="s">
        <v>190</v>
      </c>
    </row>
    <row r="4" spans="1:3" ht="17">
      <c r="A4" s="35" t="s">
        <v>189</v>
      </c>
      <c r="B4" s="35">
        <v>211</v>
      </c>
      <c r="C4" s="35" t="s">
        <v>192</v>
      </c>
    </row>
    <row r="5" spans="1:3" ht="51">
      <c r="A5" s="35" t="s">
        <v>189</v>
      </c>
      <c r="B5" s="35">
        <v>212</v>
      </c>
      <c r="C5" s="35" t="s">
        <v>196</v>
      </c>
    </row>
    <row r="6" spans="1:3" ht="34">
      <c r="A6" s="35" t="s">
        <v>189</v>
      </c>
      <c r="B6" s="35">
        <v>213</v>
      </c>
      <c r="C6" s="35" t="s">
        <v>201</v>
      </c>
    </row>
    <row r="7" spans="1:3" ht="51">
      <c r="A7" s="35" t="s">
        <v>191</v>
      </c>
      <c r="B7" s="35">
        <v>22</v>
      </c>
      <c r="C7" s="35" t="s">
        <v>204</v>
      </c>
    </row>
    <row r="8" spans="1:3" ht="17">
      <c r="A8" s="35" t="s">
        <v>195</v>
      </c>
      <c r="B8" s="35">
        <v>23</v>
      </c>
      <c r="C8" s="35" t="s">
        <v>195</v>
      </c>
    </row>
    <row r="9" spans="1:3" ht="34">
      <c r="A9" s="35" t="s">
        <v>198</v>
      </c>
      <c r="B9" s="35">
        <v>321</v>
      </c>
      <c r="C9" s="35" t="s">
        <v>215</v>
      </c>
    </row>
    <row r="10" spans="1:3" ht="68">
      <c r="A10" s="35" t="s">
        <v>198</v>
      </c>
      <c r="B10" s="35">
        <v>327</v>
      </c>
      <c r="C10" s="35" t="s">
        <v>232</v>
      </c>
    </row>
    <row r="11" spans="1:3" ht="51">
      <c r="A11" s="35" t="s">
        <v>198</v>
      </c>
      <c r="B11" s="35">
        <v>331</v>
      </c>
      <c r="C11" s="35" t="s">
        <v>233</v>
      </c>
    </row>
    <row r="12" spans="1:3" ht="51">
      <c r="A12" s="35" t="s">
        <v>198</v>
      </c>
      <c r="B12" s="35">
        <v>332</v>
      </c>
      <c r="C12" s="35" t="s">
        <v>235</v>
      </c>
    </row>
    <row r="13" spans="1:3" ht="34">
      <c r="A13" s="35" t="s">
        <v>198</v>
      </c>
      <c r="B13" s="35">
        <v>333</v>
      </c>
      <c r="C13" s="35" t="s">
        <v>236</v>
      </c>
    </row>
    <row r="14" spans="1:3" ht="68">
      <c r="A14" s="35" t="s">
        <v>198</v>
      </c>
      <c r="B14" s="35">
        <v>334</v>
      </c>
      <c r="C14" s="35" t="s">
        <v>237</v>
      </c>
    </row>
    <row r="15" spans="1:3" ht="68">
      <c r="A15" s="35" t="s">
        <v>198</v>
      </c>
      <c r="B15" s="35">
        <v>335</v>
      </c>
      <c r="C15" s="35" t="s">
        <v>238</v>
      </c>
    </row>
    <row r="16" spans="1:3" ht="51">
      <c r="A16" s="35" t="s">
        <v>198</v>
      </c>
      <c r="B16" s="35" t="s">
        <v>193</v>
      </c>
      <c r="C16" s="35" t="s">
        <v>239</v>
      </c>
    </row>
    <row r="17" spans="1:3" ht="68">
      <c r="A17" s="35" t="s">
        <v>198</v>
      </c>
      <c r="B17" s="35" t="s">
        <v>194</v>
      </c>
      <c r="C17" s="35" t="s">
        <v>240</v>
      </c>
    </row>
    <row r="18" spans="1:3" ht="17">
      <c r="A18" s="35" t="s">
        <v>198</v>
      </c>
      <c r="B18" s="35">
        <v>337</v>
      </c>
      <c r="C18" s="35" t="s">
        <v>241</v>
      </c>
    </row>
    <row r="19" spans="1:3" ht="68">
      <c r="A19" s="35" t="s">
        <v>198</v>
      </c>
      <c r="B19" s="35">
        <v>339</v>
      </c>
      <c r="C19" s="35" t="s">
        <v>242</v>
      </c>
    </row>
    <row r="20" spans="1:3" ht="34">
      <c r="A20" s="35" t="s">
        <v>198</v>
      </c>
      <c r="B20" s="35" t="s">
        <v>197</v>
      </c>
      <c r="C20" s="35" t="s">
        <v>209</v>
      </c>
    </row>
    <row r="21" spans="1:3" ht="34">
      <c r="A21" s="35" t="s">
        <v>198</v>
      </c>
      <c r="B21" s="35" t="s">
        <v>200</v>
      </c>
      <c r="C21" s="35" t="s">
        <v>211</v>
      </c>
    </row>
    <row r="22" spans="1:3" ht="17">
      <c r="A22" s="35" t="s">
        <v>198</v>
      </c>
      <c r="B22" s="35" t="s">
        <v>202</v>
      </c>
      <c r="C22" s="35" t="s">
        <v>213</v>
      </c>
    </row>
    <row r="23" spans="1:3" ht="34">
      <c r="A23" s="35" t="s">
        <v>198</v>
      </c>
      <c r="B23" s="35">
        <v>322</v>
      </c>
      <c r="C23" s="35" t="s">
        <v>217</v>
      </c>
    </row>
    <row r="24" spans="1:3" ht="34">
      <c r="A24" s="35" t="s">
        <v>198</v>
      </c>
      <c r="B24" s="35">
        <v>323</v>
      </c>
      <c r="C24" s="35" t="s">
        <v>220</v>
      </c>
    </row>
    <row r="25" spans="1:3" ht="51">
      <c r="A25" s="35" t="s">
        <v>198</v>
      </c>
      <c r="B25" s="35">
        <v>324</v>
      </c>
      <c r="C25" s="35" t="s">
        <v>223</v>
      </c>
    </row>
    <row r="26" spans="1:3" ht="51">
      <c r="A26" s="35" t="s">
        <v>198</v>
      </c>
      <c r="B26" s="35">
        <v>325</v>
      </c>
      <c r="C26" s="35" t="s">
        <v>226</v>
      </c>
    </row>
    <row r="27" spans="1:3" ht="34">
      <c r="A27" s="35" t="s">
        <v>198</v>
      </c>
      <c r="B27" s="35">
        <v>326</v>
      </c>
      <c r="C27" s="35" t="s">
        <v>229</v>
      </c>
    </row>
    <row r="28" spans="1:3" ht="17">
      <c r="A28" s="35" t="s">
        <v>243</v>
      </c>
      <c r="B28" s="35">
        <v>42</v>
      </c>
      <c r="C28" s="35" t="s">
        <v>243</v>
      </c>
    </row>
    <row r="29" spans="1:3" ht="17">
      <c r="A29" s="35" t="s">
        <v>245</v>
      </c>
      <c r="B29" s="35">
        <v>441</v>
      </c>
      <c r="C29" s="35" t="s">
        <v>244</v>
      </c>
    </row>
    <row r="30" spans="1:3" ht="17">
      <c r="A30" s="35" t="s">
        <v>245</v>
      </c>
      <c r="B30" s="35">
        <v>445</v>
      </c>
      <c r="C30" s="35" t="s">
        <v>246</v>
      </c>
    </row>
    <row r="31" spans="1:3" ht="34">
      <c r="A31" s="35" t="s">
        <v>245</v>
      </c>
      <c r="B31" s="35">
        <v>452</v>
      </c>
      <c r="C31" s="35" t="s">
        <v>247</v>
      </c>
    </row>
    <row r="32" spans="1:3" ht="17">
      <c r="A32" s="35" t="s">
        <v>245</v>
      </c>
      <c r="B32" s="35" t="s">
        <v>304</v>
      </c>
      <c r="C32" s="35" t="s">
        <v>257</v>
      </c>
    </row>
    <row r="33" spans="1:3" ht="34">
      <c r="A33" s="35" t="s">
        <v>249</v>
      </c>
      <c r="B33" s="35">
        <v>481</v>
      </c>
      <c r="C33" s="35" t="s">
        <v>248</v>
      </c>
    </row>
    <row r="34" spans="1:3" ht="34">
      <c r="A34" s="35" t="s">
        <v>249</v>
      </c>
      <c r="B34" s="35">
        <v>482</v>
      </c>
      <c r="C34" s="35" t="s">
        <v>250</v>
      </c>
    </row>
    <row r="35" spans="1:3" ht="34">
      <c r="A35" s="35" t="s">
        <v>249</v>
      </c>
      <c r="B35" s="35">
        <v>483</v>
      </c>
      <c r="C35" s="35" t="s">
        <v>251</v>
      </c>
    </row>
    <row r="36" spans="1:3" ht="34">
      <c r="A36" s="35" t="s">
        <v>249</v>
      </c>
      <c r="B36" s="35">
        <v>484</v>
      </c>
      <c r="C36" s="35" t="s">
        <v>252</v>
      </c>
    </row>
    <row r="37" spans="1:3" ht="34">
      <c r="A37" s="35" t="s">
        <v>249</v>
      </c>
      <c r="B37" s="35">
        <v>485</v>
      </c>
      <c r="C37" s="35" t="s">
        <v>253</v>
      </c>
    </row>
    <row r="38" spans="1:3" ht="34">
      <c r="A38" s="35" t="s">
        <v>249</v>
      </c>
      <c r="B38" s="35">
        <v>486</v>
      </c>
      <c r="C38" s="35" t="s">
        <v>254</v>
      </c>
    </row>
    <row r="39" spans="1:3" ht="51">
      <c r="A39" s="35" t="s">
        <v>249</v>
      </c>
      <c r="B39" s="35" t="s">
        <v>305</v>
      </c>
      <c r="C39" s="35" t="s">
        <v>255</v>
      </c>
    </row>
    <row r="40" spans="1:3" ht="34">
      <c r="A40" s="35" t="s">
        <v>249</v>
      </c>
      <c r="B40" s="35">
        <v>493</v>
      </c>
      <c r="C40" s="35" t="s">
        <v>256</v>
      </c>
    </row>
    <row r="41" spans="1:3" ht="34">
      <c r="A41" s="35" t="s">
        <v>210</v>
      </c>
      <c r="B41" s="35">
        <v>511</v>
      </c>
      <c r="C41" s="35" t="s">
        <v>258</v>
      </c>
    </row>
    <row r="42" spans="1:3" ht="34">
      <c r="A42" s="35" t="s">
        <v>210</v>
      </c>
      <c r="B42" s="35">
        <v>512</v>
      </c>
      <c r="C42" s="35" t="s">
        <v>259</v>
      </c>
    </row>
    <row r="43" spans="1:3" ht="34">
      <c r="A43" s="35" t="s">
        <v>210</v>
      </c>
      <c r="B43" s="35">
        <v>513</v>
      </c>
      <c r="C43" s="35" t="s">
        <v>260</v>
      </c>
    </row>
    <row r="44" spans="1:3" ht="51">
      <c r="A44" s="35" t="s">
        <v>210</v>
      </c>
      <c r="B44" s="35">
        <v>514</v>
      </c>
      <c r="C44" s="35" t="s">
        <v>261</v>
      </c>
    </row>
    <row r="45" spans="1:3" ht="85">
      <c r="A45" s="35" t="s">
        <v>263</v>
      </c>
      <c r="B45" s="35" t="s">
        <v>306</v>
      </c>
      <c r="C45" s="35" t="s">
        <v>262</v>
      </c>
    </row>
    <row r="46" spans="1:3" ht="51">
      <c r="A46" s="35" t="s">
        <v>263</v>
      </c>
      <c r="B46" s="35">
        <v>523</v>
      </c>
      <c r="C46" s="35" t="s">
        <v>264</v>
      </c>
    </row>
    <row r="47" spans="1:3" ht="51">
      <c r="A47" s="35" t="s">
        <v>263</v>
      </c>
      <c r="B47" s="35">
        <v>524</v>
      </c>
      <c r="C47" s="35" t="s">
        <v>265</v>
      </c>
    </row>
    <row r="48" spans="1:3" ht="51">
      <c r="A48" s="35" t="s">
        <v>263</v>
      </c>
      <c r="B48" s="35">
        <v>525</v>
      </c>
      <c r="C48" s="35" t="s">
        <v>266</v>
      </c>
    </row>
    <row r="49" spans="1:3" ht="51">
      <c r="A49" s="35" t="s">
        <v>263</v>
      </c>
      <c r="B49" s="35" t="s">
        <v>307</v>
      </c>
      <c r="C49" s="35" t="s">
        <v>293</v>
      </c>
    </row>
    <row r="50" spans="1:3" ht="51">
      <c r="A50" s="35" t="s">
        <v>263</v>
      </c>
      <c r="B50" s="35" t="s">
        <v>308</v>
      </c>
      <c r="C50" s="35" t="s">
        <v>294</v>
      </c>
    </row>
    <row r="51" spans="1:3" ht="68">
      <c r="A51" s="35" t="s">
        <v>263</v>
      </c>
      <c r="B51" s="35" t="s">
        <v>309</v>
      </c>
      <c r="C51" s="35" t="s">
        <v>267</v>
      </c>
    </row>
    <row r="52" spans="1:3" ht="34">
      <c r="A52" s="35" t="s">
        <v>269</v>
      </c>
      <c r="B52" s="35">
        <v>5411</v>
      </c>
      <c r="C52" s="35" t="s">
        <v>268</v>
      </c>
    </row>
    <row r="53" spans="1:3" ht="34">
      <c r="A53" s="35" t="s">
        <v>269</v>
      </c>
      <c r="B53" s="35">
        <v>5415</v>
      </c>
      <c r="C53" s="35" t="s">
        <v>271</v>
      </c>
    </row>
    <row r="54" spans="1:3" ht="51">
      <c r="A54" s="35" t="s">
        <v>269</v>
      </c>
      <c r="B54" s="35" t="s">
        <v>310</v>
      </c>
      <c r="C54" s="35" t="s">
        <v>270</v>
      </c>
    </row>
    <row r="55" spans="1:3" ht="34">
      <c r="A55" s="35" t="s">
        <v>269</v>
      </c>
      <c r="B55" s="35">
        <v>55</v>
      </c>
      <c r="C55" s="35" t="s">
        <v>272</v>
      </c>
    </row>
    <row r="56" spans="1:3" ht="34">
      <c r="A56" s="35" t="s">
        <v>269</v>
      </c>
      <c r="B56" s="35">
        <v>561</v>
      </c>
      <c r="C56" s="35" t="s">
        <v>273</v>
      </c>
    </row>
    <row r="57" spans="1:3" ht="34">
      <c r="A57" s="35" t="s">
        <v>269</v>
      </c>
      <c r="B57" s="35">
        <v>562</v>
      </c>
      <c r="C57" s="35" t="s">
        <v>274</v>
      </c>
    </row>
    <row r="58" spans="1:3" ht="51">
      <c r="A58" s="35" t="s">
        <v>276</v>
      </c>
      <c r="B58" s="35">
        <v>61</v>
      </c>
      <c r="C58" s="35" t="s">
        <v>275</v>
      </c>
    </row>
    <row r="59" spans="1:3" ht="51">
      <c r="A59" s="35" t="s">
        <v>276</v>
      </c>
      <c r="B59" s="35">
        <v>621</v>
      </c>
      <c r="C59" s="35" t="s">
        <v>277</v>
      </c>
    </row>
    <row r="60" spans="1:3" ht="51">
      <c r="A60" s="35" t="s">
        <v>276</v>
      </c>
      <c r="B60" s="35">
        <v>622</v>
      </c>
      <c r="C60" s="35" t="s">
        <v>278</v>
      </c>
    </row>
    <row r="61" spans="1:3" ht="51">
      <c r="A61" s="35" t="s">
        <v>276</v>
      </c>
      <c r="B61" s="35">
        <v>623</v>
      </c>
      <c r="C61" s="35" t="s">
        <v>279</v>
      </c>
    </row>
    <row r="62" spans="1:3" ht="68">
      <c r="A62" s="35" t="s">
        <v>276</v>
      </c>
      <c r="B62" s="35">
        <v>624</v>
      </c>
      <c r="C62" s="35" t="s">
        <v>280</v>
      </c>
    </row>
    <row r="63" spans="1:3" ht="68">
      <c r="A63" s="35" t="s">
        <v>282</v>
      </c>
      <c r="B63" s="35" t="s">
        <v>311</v>
      </c>
      <c r="C63" s="35" t="s">
        <v>281</v>
      </c>
    </row>
    <row r="64" spans="1:3" ht="68">
      <c r="A64" s="35" t="s">
        <v>282</v>
      </c>
      <c r="B64" s="35">
        <v>713</v>
      </c>
      <c r="C64" s="35" t="s">
        <v>283</v>
      </c>
    </row>
    <row r="65" spans="1:3" ht="68">
      <c r="A65" s="35" t="s">
        <v>282</v>
      </c>
      <c r="B65" s="35">
        <v>721</v>
      </c>
      <c r="C65" s="35" t="s">
        <v>284</v>
      </c>
    </row>
    <row r="66" spans="1:3" ht="68">
      <c r="A66" s="35" t="s">
        <v>282</v>
      </c>
      <c r="B66" s="35">
        <v>722</v>
      </c>
      <c r="C66" s="35" t="s">
        <v>285</v>
      </c>
    </row>
    <row r="67" spans="1:3" ht="34">
      <c r="A67" s="35" t="s">
        <v>286</v>
      </c>
      <c r="B67" s="35">
        <v>81</v>
      </c>
      <c r="C67" s="35" t="s">
        <v>286</v>
      </c>
    </row>
    <row r="68" spans="1:3" ht="34">
      <c r="A68" s="35" t="s">
        <v>227</v>
      </c>
      <c r="B68" s="35" t="s">
        <v>312</v>
      </c>
      <c r="C68" s="35" t="s">
        <v>289</v>
      </c>
    </row>
    <row r="69" spans="1:3" ht="34">
      <c r="A69" s="35" t="s">
        <v>227</v>
      </c>
      <c r="B69" s="35" t="s">
        <v>313</v>
      </c>
      <c r="C69" s="35" t="s">
        <v>290</v>
      </c>
    </row>
    <row r="70" spans="1:3" ht="34">
      <c r="A70" s="35" t="s">
        <v>227</v>
      </c>
      <c r="B70" s="35" t="s">
        <v>314</v>
      </c>
      <c r="C70" s="35" t="s">
        <v>288</v>
      </c>
    </row>
    <row r="71" spans="1:3" ht="34">
      <c r="A71" s="35" t="s">
        <v>227</v>
      </c>
      <c r="B71" s="35" t="s">
        <v>315</v>
      </c>
      <c r="C71" s="35" t="s">
        <v>292</v>
      </c>
    </row>
    <row r="72" spans="1:3" ht="68">
      <c r="A72" s="35" t="s">
        <v>227</v>
      </c>
      <c r="B72" s="35" t="s">
        <v>316</v>
      </c>
      <c r="C72" s="35" t="s">
        <v>291</v>
      </c>
    </row>
    <row r="73" spans="1:3" ht="34">
      <c r="A73" s="35" t="s">
        <v>298</v>
      </c>
      <c r="B73" s="35" t="s">
        <v>298</v>
      </c>
      <c r="C73" s="35" t="s">
        <v>297</v>
      </c>
    </row>
    <row r="74" spans="1:3" ht="51">
      <c r="A74" s="35" t="s">
        <v>296</v>
      </c>
      <c r="B74" s="35" t="s">
        <v>296</v>
      </c>
      <c r="C74" s="35"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GDP Total</vt:lpstr>
      <vt:lpstr>GDP Per Cap</vt:lpstr>
      <vt:lpstr>TE Total</vt:lpstr>
      <vt:lpstr>TE Per Cap</vt:lpstr>
      <vt:lpstr>CBE Total</vt:lpstr>
      <vt:lpstr>CBE Per Cap</vt:lpstr>
      <vt:lpstr>Population</vt:lpstr>
      <vt:lpstr>Sectoral Data</vt:lpstr>
      <vt:lpstr>Sector 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Alaitz Aritza</dc:creator>
  <cp:keywords/>
  <dc:description/>
  <cp:lastModifiedBy>Schoeggl, Josef-Peter</cp:lastModifiedBy>
  <cp:revision/>
  <dcterms:created xsi:type="dcterms:W3CDTF">2025-10-21T17:35:25Z</dcterms:created>
  <dcterms:modified xsi:type="dcterms:W3CDTF">2025-11-16T15:24:44Z</dcterms:modified>
  <cp:category/>
  <cp:contentStatus/>
</cp:coreProperties>
</file>